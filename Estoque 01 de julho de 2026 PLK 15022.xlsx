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OneDrive\Desktop\Estoques\Estoque 2026\Estoque 01 Julho de 2026\"/>
    </mc:Choice>
  </mc:AlternateContent>
  <bookViews>
    <workbookView xWindow="0" yWindow="0" windowWidth="20490" windowHeight="8190"/>
  </bookViews>
  <sheets>
    <sheet name="Contagem PLK " sheetId="1" r:id="rId1"/>
  </sheets>
  <calcPr calcId="162913"/>
</workbook>
</file>

<file path=xl/calcChain.xml><?xml version="1.0" encoding="utf-8"?>
<calcChain xmlns="http://schemas.openxmlformats.org/spreadsheetml/2006/main">
  <c r="F76" i="1" l="1"/>
  <c r="H76" i="1" s="1"/>
  <c r="F77" i="1"/>
  <c r="H77" i="1" s="1"/>
  <c r="F78" i="1"/>
  <c r="H78" i="1"/>
  <c r="F75" i="1"/>
  <c r="H75" i="1"/>
  <c r="F79" i="1"/>
  <c r="H79" i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5" i="1" l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80" i="1"/>
  <c r="H80" i="1" s="1"/>
  <c r="F4" i="1"/>
  <c r="H4" i="1" s="1"/>
  <c r="H83" i="1" l="1"/>
</calcChain>
</file>

<file path=xl/sharedStrings.xml><?xml version="1.0" encoding="utf-8"?>
<sst xmlns="http://schemas.openxmlformats.org/spreadsheetml/2006/main" count="166" uniqueCount="91">
  <si>
    <r>
      <rPr>
        <sz val="6"/>
        <rFont val="Arial MT"/>
        <family val="2"/>
      </rPr>
      <t>BATATA PREF CONG CAJUN PLK C/4X2,5KG IMP</t>
    </r>
  </si>
  <si>
    <r>
      <rPr>
        <sz val="6"/>
        <rFont val="Arial MT"/>
        <family val="2"/>
      </rPr>
      <t>BATTER GOLD STANDARD CX C/6X2,1 12,6KG</t>
    </r>
  </si>
  <si>
    <r>
      <rPr>
        <sz val="6"/>
        <rFont val="Arial MT"/>
        <family val="2"/>
      </rPr>
      <t>CEBOLA FRITA CRISPY BENASSI SC 10x500G</t>
    </r>
  </si>
  <si>
    <r>
      <rPr>
        <sz val="6"/>
        <rFont val="Arial MT"/>
        <family val="2"/>
      </rPr>
      <t>PAO CONG BRIOCHE CLEAN LABEL CX C/270UN</t>
    </r>
  </si>
  <si>
    <r>
      <rPr>
        <sz val="6"/>
        <rFont val="Arial MT"/>
        <family val="2"/>
      </rPr>
      <t>PAO RIVIERA CONGELADO CX C/270 UN</t>
    </r>
  </si>
  <si>
    <r>
      <rPr>
        <sz val="6"/>
        <rFont val="Arial MT"/>
        <family val="2"/>
      </rPr>
      <t>FILES FRANGO TIRAS PLK 252 UN CX C/12KG</t>
    </r>
  </si>
  <si>
    <r>
      <rPr>
        <sz val="6"/>
        <rFont val="Arial MT"/>
        <family val="2"/>
      </rPr>
      <t>MINI FILES DE FRANGO PLK 545 UN C/12 KG</t>
    </r>
  </si>
  <si>
    <r>
      <rPr>
        <sz val="6"/>
        <rFont val="Arial MT"/>
        <family val="2"/>
      </rPr>
      <t>PEDACOS DE FRANGO PLK CX 108UN 13,62KG</t>
    </r>
  </si>
  <si>
    <r>
      <rPr>
        <sz val="6"/>
        <rFont val="Arial MT"/>
        <family val="2"/>
      </rPr>
      <t>PEITO DE FRANGO 100G PLK 180 UN  C/18 KG</t>
    </r>
  </si>
  <si>
    <r>
      <rPr>
        <sz val="6"/>
        <rFont val="Arial MT"/>
        <family val="2"/>
      </rPr>
      <t>PEITO DE FRANGO 70G PLK CX 168UN C/12KG</t>
    </r>
  </si>
  <si>
    <r>
      <rPr>
        <sz val="6"/>
        <rFont val="Arial MT"/>
        <family val="2"/>
      </rPr>
      <t>BACON PRONTO CONG 1187 UND CX/ 4KG DIS</t>
    </r>
  </si>
  <si>
    <r>
      <rPr>
        <sz val="6"/>
        <rFont val="Arial MT"/>
        <family val="2"/>
      </rPr>
      <t>MANTEIGA LIQUIDA BD C/ 3,2 KG</t>
    </r>
  </si>
  <si>
    <r>
      <rPr>
        <sz val="6"/>
        <rFont val="Arial MT"/>
        <family val="2"/>
      </rPr>
      <t>ALFACE AMERICANA POPEYES C/4 KG</t>
    </r>
  </si>
  <si>
    <r>
      <rPr>
        <sz val="6"/>
        <rFont val="Arial MT"/>
        <family val="2"/>
      </rPr>
      <t>TOMATE CARMEN INTEIRO POPEYES CX 7KG</t>
    </r>
  </si>
  <si>
    <r>
      <rPr>
        <sz val="6"/>
        <rFont val="Arial MT"/>
        <family val="2"/>
      </rPr>
      <t>FARINHA DE TRIGO POPEYES 25KG029294</t>
    </r>
  </si>
  <si>
    <r>
      <rPr>
        <sz val="6"/>
        <rFont val="Arial MT"/>
        <family val="2"/>
      </rPr>
      <t>OLEO ALGODAO PLK 18KG CX 6X3</t>
    </r>
  </si>
  <si>
    <r>
      <rPr>
        <sz val="6"/>
        <rFont val="Arial MT"/>
        <family val="2"/>
      </rPr>
      <t>PICKLES C/ SALMOURA PLK CX 6X200 1200 UN</t>
    </r>
  </si>
  <si>
    <r>
      <rPr>
        <sz val="6"/>
        <rFont val="Arial MT"/>
        <family val="2"/>
      </rPr>
      <t>SAL REFINADO SACHE CX 0.8X2500UN NOVO</t>
    </r>
  </si>
  <si>
    <r>
      <rPr>
        <sz val="6"/>
        <rFont val="Arial MT"/>
        <family val="2"/>
      </rPr>
      <t>AGUA COPO 310 ML CX C/48 UN POPEYES</t>
    </r>
  </si>
  <si>
    <r>
      <rPr>
        <sz val="6"/>
        <rFont val="Arial MT"/>
        <family val="2"/>
      </rPr>
      <t>TEMPERO SUAVE CX C/22KG</t>
    </r>
  </si>
  <si>
    <r>
      <rPr>
        <sz val="6"/>
        <rFont val="Arial MT"/>
        <family val="2"/>
      </rPr>
      <t>BALDE GRANDE 1,5LT PLK CX C/200 UN</t>
    </r>
  </si>
  <si>
    <r>
      <rPr>
        <sz val="6"/>
        <rFont val="Arial MT"/>
        <family val="2"/>
      </rPr>
      <t>CAIXA VIAGEM GRANDE PLK CX C/100UN</t>
    </r>
  </si>
  <si>
    <r>
      <rPr>
        <sz val="6"/>
        <rFont val="Arial MT"/>
        <family val="2"/>
      </rPr>
      <t>CAIXA VIAGEM MEDIA POPEYES CX C/100 UN</t>
    </r>
  </si>
  <si>
    <r>
      <rPr>
        <sz val="6"/>
        <rFont val="Arial MT"/>
        <family val="2"/>
      </rPr>
      <t>CANUDO PAPEL REFRIGERANTE PLK CX C/3000</t>
    </r>
  </si>
  <si>
    <r>
      <rPr>
        <sz val="6"/>
        <rFont val="Arial MT"/>
        <family val="2"/>
      </rPr>
      <t>CART BATATA GRANDE POPEYES CX C/1600 UN</t>
    </r>
  </si>
  <si>
    <r>
      <rPr>
        <sz val="6"/>
        <rFont val="Arial MT"/>
        <family val="2"/>
      </rPr>
      <t>CART BATATA MD PLK CX C/1600UN NOVA</t>
    </r>
  </si>
  <si>
    <r>
      <rPr>
        <sz val="6"/>
        <rFont val="Arial MT"/>
        <family val="2"/>
      </rPr>
      <t>CARTONAGEM DELIVERY FRITOS M PLK 500UN</t>
    </r>
  </si>
  <si>
    <r>
      <rPr>
        <sz val="6"/>
        <rFont val="Arial MT"/>
        <family val="2"/>
      </rPr>
      <t>COPO 440 ML POPEYES CX C/900 UN</t>
    </r>
  </si>
  <si>
    <r>
      <rPr>
        <sz val="6"/>
        <rFont val="Arial MT"/>
        <family val="2"/>
      </rPr>
      <t>FUNDO BANDEJA POPEYES BOX CX C/ 600 UN</t>
    </r>
  </si>
  <si>
    <r>
      <rPr>
        <sz val="6"/>
        <rFont val="Arial MT"/>
        <family val="2"/>
      </rPr>
      <t>GUARDANAPO EMB SACHE 40X15 CX C/4000</t>
    </r>
  </si>
  <si>
    <r>
      <rPr>
        <sz val="6"/>
        <rFont val="Arial MT"/>
        <family val="2"/>
      </rPr>
      <t>LACRE DE SEGURANCA DLV PLK C/ 500UN</t>
    </r>
  </si>
  <si>
    <r>
      <rPr>
        <sz val="6"/>
        <rFont val="Arial MT"/>
        <family val="2"/>
      </rPr>
      <t>LAMINA BOOM BOX POPEYES PT C/3000 UN</t>
    </r>
  </si>
  <si>
    <r>
      <rPr>
        <sz val="6"/>
        <rFont val="Arial MT"/>
        <family val="2"/>
      </rPr>
      <t>LAMINA POPEYES POP BOX 25X30 FD/3000 UN</t>
    </r>
  </si>
  <si>
    <r>
      <rPr>
        <sz val="6"/>
        <rFont val="Arial MT"/>
        <family val="2"/>
      </rPr>
      <t>SACO 12 LIBRAS GD PLK  PT C/1000 UN</t>
    </r>
  </si>
  <si>
    <r>
      <rPr>
        <sz val="6"/>
        <rFont val="Arial MT"/>
        <family val="2"/>
      </rPr>
      <t>SACO 6 LIBRAS PQ PLK PT C/1000 UN</t>
    </r>
  </si>
  <si>
    <r>
      <rPr>
        <sz val="6"/>
        <rFont val="Arial MT"/>
        <family val="2"/>
      </rPr>
      <t>SACO DE BATATA PEQUENA 22x11 PLK</t>
    </r>
  </si>
  <si>
    <r>
      <rPr>
        <sz val="6"/>
        <rFont val="Arial MT"/>
        <family val="2"/>
      </rPr>
      <t>SACO DE PAPEL PLK C/ 250UN</t>
    </r>
  </si>
  <si>
    <r>
      <rPr>
        <sz val="6"/>
        <rFont val="Arial MT"/>
        <family val="2"/>
      </rPr>
      <t>SAQUINHO DE MINI FILE 34X19 PLK</t>
    </r>
  </si>
  <si>
    <r>
      <rPr>
        <sz val="6"/>
        <rFont val="Arial MT"/>
        <family val="2"/>
      </rPr>
      <t>COPO CORTESIA 200ML CX C/2500 UN</t>
    </r>
  </si>
  <si>
    <r>
      <rPr>
        <sz val="6"/>
        <rFont val="Arial MT"/>
        <family val="2"/>
      </rPr>
      <t>GUARDANAPO INTERFOLHADO CX C/ 5400 UN</t>
    </r>
  </si>
  <si>
    <r>
      <rPr>
        <sz val="6"/>
        <rFont val="Arial MT"/>
        <family val="2"/>
      </rPr>
      <t>KIT GARFO/FACA EMBALADOS 400UN</t>
    </r>
  </si>
  <si>
    <r>
      <rPr>
        <sz val="6"/>
        <rFont val="Arial MT"/>
        <family val="2"/>
      </rPr>
      <t>TAMPA COPO 440 ML CX C/ 1800 UN</t>
    </r>
  </si>
  <si>
    <r>
      <rPr>
        <sz val="6"/>
        <rFont val="Arial MT"/>
        <family val="2"/>
      </rPr>
      <t>KETCHUP HEINZ SACHE 176X7G</t>
    </r>
  </si>
  <si>
    <r>
      <rPr>
        <sz val="6"/>
        <rFont val="Arial MT"/>
        <family val="2"/>
      </rPr>
      <t>MAIONESE DE ALHO BLISTER CX C/96UN</t>
    </r>
  </si>
  <si>
    <r>
      <rPr>
        <sz val="6"/>
        <rFont val="Arial MT"/>
        <family val="2"/>
      </rPr>
      <t>MAIONESE POPEYES  C/5,5 KG</t>
    </r>
  </si>
  <si>
    <r>
      <rPr>
        <sz val="6"/>
        <rFont val="Arial MT"/>
        <family val="2"/>
      </rPr>
      <t>MOLHO BARBECUE BLISTER PLK CX 144X28G</t>
    </r>
  </si>
  <si>
    <r>
      <rPr>
        <sz val="6"/>
        <rFont val="Arial MT"/>
        <family val="2"/>
      </rPr>
      <t>MOLHO BARBECUE POPEYES  C/5,5 KG</t>
    </r>
  </si>
  <si>
    <r>
      <rPr>
        <sz val="6"/>
        <rFont val="Arial MT"/>
        <family val="2"/>
      </rPr>
      <t>MOLHO LOUISIANA POPEYES C/5,5 KG</t>
    </r>
  </si>
  <si>
    <r>
      <rPr>
        <sz val="6"/>
        <rFont val="Arial MT"/>
        <family val="2"/>
      </rPr>
      <t>MOLHO LOUSIANA PLK PT 30G CX/ 72 UN NOVO</t>
    </r>
  </si>
  <si>
    <r>
      <rPr>
        <sz val="6"/>
        <rFont val="Arial MT"/>
        <family val="2"/>
      </rPr>
      <t>MOLHO NOLA POPEYES C/5,5 KG</t>
    </r>
  </si>
  <si>
    <r>
      <rPr>
        <sz val="6"/>
        <rFont val="Arial MT"/>
        <family val="2"/>
      </rPr>
      <t>MOSTARDA HEINZ SC 5G POPEYES CX C/192</t>
    </r>
  </si>
  <si>
    <r>
      <rPr>
        <sz val="6"/>
        <rFont val="Arial MT"/>
        <family val="2"/>
      </rPr>
      <t>SUCO DE LARANJA INTEGRAL CX 12X300ML</t>
    </r>
  </si>
  <si>
    <r>
      <rPr>
        <sz val="6"/>
        <rFont val="Arial MT"/>
        <family val="2"/>
      </rPr>
      <t>SUCO DE UVA INTEGRAL CX 12X300ML</t>
    </r>
  </si>
  <si>
    <t>QUEIJO MGA CHEDDAR PLK 768 UN KG 8,4</t>
  </si>
  <si>
    <t>COD</t>
  </si>
  <si>
    <t>DESCRIÇÃO PRODUTO</t>
  </si>
  <si>
    <t>UNID DE CONTAGEM</t>
  </si>
  <si>
    <t>PREÇO DA CAIXA</t>
  </si>
  <si>
    <t>UND CONVERTIDA</t>
  </si>
  <si>
    <t>VALOR UNID</t>
  </si>
  <si>
    <t>R$ ESTOQUE</t>
  </si>
  <si>
    <t>und</t>
  </si>
  <si>
    <t xml:space="preserve">Digite aqui a sua contagem </t>
  </si>
  <si>
    <t>kg</t>
  </si>
  <si>
    <t>Unidade</t>
  </si>
  <si>
    <t xml:space="preserve">preco </t>
  </si>
  <si>
    <t xml:space="preserve">ESTOQUE FINAL        </t>
  </si>
  <si>
    <t xml:space="preserve">Total Final </t>
  </si>
  <si>
    <t>BALDE EM PAPEL CARTONADO 3,0 LT PPY CX 160UND</t>
  </si>
  <si>
    <t>POTE  900 ML PPY 500 UND</t>
  </si>
  <si>
    <t>POTE 150 ML PPY TUICIAL CX500UN</t>
  </si>
  <si>
    <t>TAMPA 150ML PPY TUICIAL CX 1000UN</t>
  </si>
  <si>
    <t>MOLHO PARMESAO E ALHO BAG PLK CX5X1</t>
  </si>
  <si>
    <t xml:space="preserve">MOLHO HOT LEMON PEPPER BAG PLK CX 5X1 </t>
  </si>
  <si>
    <t>CC ZERO LT 6X310ML</t>
  </si>
  <si>
    <t>COCA COLA LT 15X310ML</t>
  </si>
  <si>
    <t>FANTA GUARANA LT SIX 6X310ML</t>
  </si>
  <si>
    <t>FANTA GUARANA ZERO 6X310ML</t>
  </si>
  <si>
    <t>FANTA LARANJA LT 6X310ML</t>
  </si>
  <si>
    <t>SPRITE ORIGINAL LT 6X310ML</t>
  </si>
  <si>
    <t xml:space="preserve">CHURROS STICK CX C/198 UND 3X66UN </t>
  </si>
  <si>
    <t>BOMBOM SORBET DE PACOCA CX C 12UN</t>
  </si>
  <si>
    <t>MOLHO CHEDDAR BISNAGA PPY CX 1,5 KG X 4UND</t>
  </si>
  <si>
    <t>CALDA DE CHOCOLATE GANACHE CX 6KG</t>
  </si>
  <si>
    <t>DOCE DE LEITE CONFEITARIA MOCA CX 8X1 ,01KG</t>
  </si>
  <si>
    <t xml:space="preserve">MOLHO BBQ BRANCO CX C/5,5KG 5X1 ,1KG </t>
  </si>
  <si>
    <t>COCA COLA BIB 18L</t>
  </si>
  <si>
    <t>COCA S/A BAG IN BOX 10L</t>
  </si>
  <si>
    <t>FANTA GUARANA BAG IN BOX 10L</t>
  </si>
  <si>
    <t>FANTA LAR BAG IN BOX 10L</t>
  </si>
  <si>
    <t>SPRITE BAG IN BOX 10L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</si>
</sst>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-&quot;R$&quot;\ * #,##0.00_-;\-&quot;R$&quot;\ * #,##0.00_-;_-&quot;R$&quot;\ * &quot;-&quot;??_-;_-@_-"/>
    <numFmt numFmtId="165" formatCode="&quot;R$&quot;#,##0.00"/>
    <numFmt numFmtId="166" formatCode="_-[$R$-416]\ * #,##0.00_-;\-[$R$-416]\ * #,##0.00_-;_-[$R$-416]\ * &quot;-&quot;??_-;_-@_-"/>
    <numFmt numFmtId="167" formatCode="#,##0.0000_);\(#,##0.0000\)"/>
    <numFmt numFmtId="168" formatCode="_ * #,##0.00_ ;_ * \-#,##0.00_ ;_ * &quot;-&quot;??_ ;_ @_ "/>
  </numFmts>
  <fonts count="13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6"/>
      <name val="Arial MT"/>
    </font>
    <font>
      <sz val="6"/>
      <name val="Arial MT"/>
      <family val="2"/>
    </font>
    <font>
      <sz val="10"/>
      <color rgb="FF000000"/>
      <name val="Times New Roman"/>
      <charset val="204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Helv"/>
    </font>
    <font>
      <sz val="11"/>
      <name val="Calibri"/>
      <family val="2"/>
      <scheme val="minor"/>
    </font>
    <font>
      <sz val="11"/>
      <color theme="1"/>
      <name val="Berlin Sans FB Demi"/>
      <family val="2"/>
    </font>
    <font>
      <sz val="10"/>
      <color theme="1"/>
      <name val="Berlin Sans FB Demi"/>
      <family val="2"/>
    </font>
    <font>
      <b/>
      <sz val="10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5" fillId="0" borderId="0" applyFont="0" applyFill="0" applyBorder="0" applyAlignment="0" applyProtection="0"/>
    <xf numFmtId="0" fontId="7" fillId="0" borderId="0"/>
    <xf numFmtId="167" fontId="8" fillId="0" borderId="0" applyProtection="0"/>
    <xf numFmtId="168" fontId="7" fillId="0" borderId="0" applyFont="0" applyFill="0" applyBorder="0" applyAlignment="0" applyProtection="0"/>
  </cellStyleXfs>
  <cellXfs count="39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165" fontId="0" fillId="0" borderId="1" xfId="0" applyNumberFormat="1" applyBorder="1" applyAlignment="1">
      <alignment vertical="center" wrapText="1"/>
    </xf>
    <xf numFmtId="0" fontId="0" fillId="0" borderId="0" xfId="0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center" vertical="top" wrapText="1"/>
    </xf>
    <xf numFmtId="165" fontId="0" fillId="0" borderId="1" xfId="0" applyNumberFormat="1" applyBorder="1" applyAlignment="1">
      <alignment horizontal="right"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6" xfId="2" applyFont="1" applyBorder="1" applyAlignment="1" applyProtection="1">
      <alignment horizontal="left" vertical="center"/>
      <protection locked="0"/>
    </xf>
    <xf numFmtId="0" fontId="2" fillId="0" borderId="0" xfId="2" applyFont="1" applyAlignment="1" applyProtection="1">
      <alignment horizontal="center" vertical="center"/>
      <protection locked="0"/>
    </xf>
    <xf numFmtId="0" fontId="2" fillId="0" borderId="0" xfId="2" applyFont="1" applyAlignment="1" applyProtection="1">
      <alignment horizontal="center" vertical="center" wrapText="1"/>
      <protection locked="0"/>
    </xf>
    <xf numFmtId="166" fontId="2" fillId="0" borderId="7" xfId="2" applyNumberFormat="1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center" vertical="center"/>
      <protection locked="0"/>
    </xf>
    <xf numFmtId="1" fontId="2" fillId="3" borderId="4" xfId="4" applyNumberFormat="1" applyFont="1" applyFill="1" applyBorder="1" applyAlignment="1" applyProtection="1">
      <alignment horizontal="center" vertical="center"/>
    </xf>
    <xf numFmtId="166" fontId="2" fillId="3" borderId="5" xfId="4" applyNumberFormat="1" applyFont="1" applyFill="1" applyBorder="1" applyAlignment="1" applyProtection="1">
      <alignment horizontal="center" vertical="center"/>
    </xf>
    <xf numFmtId="0" fontId="9" fillId="4" borderId="3" xfId="0" applyFont="1" applyFill="1" applyBorder="1" applyAlignment="1" applyProtection="1">
      <alignment horizontal="center" vertical="center"/>
      <protection locked="0"/>
    </xf>
    <xf numFmtId="0" fontId="9" fillId="4" borderId="4" xfId="0" applyFont="1" applyFill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165" fontId="0" fillId="0" borderId="2" xfId="0" applyNumberFormat="1" applyBorder="1" applyAlignment="1">
      <alignment vertical="center" wrapText="1"/>
    </xf>
    <xf numFmtId="1" fontId="2" fillId="3" borderId="9" xfId="4" applyNumberFormat="1" applyFont="1" applyFill="1" applyBorder="1" applyAlignment="1" applyProtection="1">
      <alignment horizontal="center" vertical="center"/>
    </xf>
    <xf numFmtId="166" fontId="2" fillId="3" borderId="10" xfId="4" applyNumberFormat="1" applyFont="1" applyFill="1" applyBorder="1" applyAlignment="1" applyProtection="1">
      <alignment horizontal="center" vertical="center"/>
    </xf>
    <xf numFmtId="167" fontId="10" fillId="2" borderId="11" xfId="3" applyFont="1" applyFill="1" applyBorder="1" applyAlignment="1" applyProtection="1">
      <alignment horizontal="center" vertical="center"/>
      <protection locked="0"/>
    </xf>
    <xf numFmtId="167" fontId="10" fillId="2" borderId="12" xfId="3" applyFont="1" applyFill="1" applyBorder="1" applyAlignment="1" applyProtection="1">
      <alignment horizontal="center" vertical="center"/>
      <protection locked="0"/>
    </xf>
    <xf numFmtId="167" fontId="10" fillId="2" borderId="13" xfId="3" applyFont="1" applyFill="1" applyBorder="1" applyAlignment="1" applyProtection="1">
      <alignment horizontal="center" vertical="center"/>
      <protection locked="0"/>
    </xf>
    <xf numFmtId="0" fontId="10" fillId="2" borderId="14" xfId="2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center" wrapText="1"/>
      <protection locked="0"/>
    </xf>
    <xf numFmtId="164" fontId="11" fillId="2" borderId="14" xfId="1" applyFont="1" applyFill="1" applyBorder="1" applyAlignment="1" applyProtection="1">
      <alignment horizontal="center" vertical="center" wrapText="1"/>
      <protection locked="0"/>
    </xf>
    <xf numFmtId="166" fontId="11" fillId="2" borderId="14" xfId="2" applyNumberFormat="1" applyFont="1" applyFill="1" applyBorder="1" applyAlignment="1" applyProtection="1">
      <alignment horizontal="center" vertical="center" wrapText="1"/>
      <protection locked="0"/>
    </xf>
    <xf numFmtId="0" fontId="11" fillId="2" borderId="14" xfId="2" applyFont="1" applyFill="1" applyBorder="1" applyAlignment="1" applyProtection="1">
      <alignment horizontal="center" vertical="top" wrapText="1"/>
      <protection locked="0"/>
    </xf>
    <xf numFmtId="166" fontId="11" fillId="2" borderId="15" xfId="2" applyNumberFormat="1" applyFont="1" applyFill="1" applyBorder="1" applyAlignment="1" applyProtection="1">
      <alignment horizontal="center" vertical="center" wrapText="1"/>
      <protection locked="0"/>
    </xf>
    <xf numFmtId="0" fontId="12" fillId="0" borderId="11" xfId="0" applyFont="1" applyBorder="1" applyAlignment="1">
      <alignment horizontal="left" vertical="top"/>
    </xf>
    <xf numFmtId="166" fontId="12" fillId="0" borderId="13" xfId="0" applyNumberFormat="1" applyFont="1" applyBorder="1" applyAlignment="1">
      <alignment horizontal="left" vertical="top"/>
    </xf>
    <xf numFmtId="166" fontId="6" fillId="2" borderId="9" xfId="4" applyNumberFormat="1" applyFont="1" applyFill="1" applyBorder="1" applyAlignment="1" applyProtection="1">
      <alignment horizontal="center" vertical="center"/>
    </xf>
    <xf numFmtId="166" fontId="6" fillId="2" borderId="4" xfId="4" applyNumberFormat="1" applyFont="1" applyFill="1" applyBorder="1" applyAlignment="1" applyProtection="1">
      <alignment horizontal="center" vertical="center"/>
    </xf>
    <xf numFmtId="1" fontId="1" fillId="3" borderId="4" xfId="4" applyNumberFormat="1" applyFont="1" applyFill="1" applyBorder="1" applyAlignment="1" applyProtection="1">
      <alignment horizontal="center" vertical="center"/>
    </xf>
    <xf numFmtId="0" fontId="6" fillId="5" borderId="0" xfId="2" applyFont="1" applyFill="1" applyBorder="1" applyAlignment="1" applyProtection="1">
      <alignment horizontal="center" vertical="top" wrapText="1"/>
      <protection locked="0"/>
    </xf>
  </cellXfs>
  <cellStyles count="5">
    <cellStyle name="Moeda" xfId="1" builtinId="4"/>
    <cellStyle name="Normal" xfId="0" builtinId="0"/>
    <cellStyle name="Normal_Recetas Agosto 03 con nva receta" xfId="3"/>
    <cellStyle name="Normal_Tabela de preços Água - 19.10.09 2" xfId="2"/>
    <cellStyle name="Vírgula 2" xfId="4"/>
  </cellStyles>
  <dxfs count="2">
    <dxf>
      <font>
        <b/>
        <i val="0"/>
        <condense val="0"/>
        <extend val="0"/>
        <color indexed="18"/>
      </font>
    </dxf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35468</xdr:colOff>
      <xdr:row>1</xdr:row>
      <xdr:rowOff>189087</xdr:rowOff>
    </xdr:from>
    <xdr:to>
      <xdr:col>6</xdr:col>
      <xdr:colOff>252009</xdr:colOff>
      <xdr:row>3</xdr:row>
      <xdr:rowOff>29340</xdr:rowOff>
    </xdr:to>
    <xdr:sp macro="" textlink="">
      <xdr:nvSpPr>
        <xdr:cNvPr id="3" name="Seta: para Baixo 2">
          <a:extLst>
            <a:ext uri="{FF2B5EF4-FFF2-40B4-BE49-F238E27FC236}">
              <a16:creationId xmlns:a16="http://schemas.microsoft.com/office/drawing/2014/main" id="{05F1DAAC-F859-49B8-B670-BB9AF975A84B}"/>
            </a:ext>
          </a:extLst>
        </xdr:cNvPr>
        <xdr:cNvSpPr/>
      </xdr:nvSpPr>
      <xdr:spPr bwMode="auto">
        <a:xfrm rot="19596671">
          <a:off x="14237243" y="1265412"/>
          <a:ext cx="216541" cy="240303"/>
        </a:xfrm>
        <a:prstGeom prst="downArrow">
          <a:avLst>
            <a:gd name="adj1" fmla="val 50000"/>
            <a:gd name="adj2" fmla="val 45802"/>
          </a:avLst>
        </a:prstGeom>
        <a:solidFill>
          <a:srgbClr val="3BE584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lang="pt-BR" sz="1100">
            <a:ln>
              <a:solidFill>
                <a:srgbClr val="FF0000"/>
              </a:solidFill>
            </a:ln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"/>
  <sheetViews>
    <sheetView tabSelected="1" workbookViewId="0">
      <selection activeCell="K73" sqref="K73"/>
    </sheetView>
  </sheetViews>
  <sheetFormatPr defaultRowHeight="12.75"/>
  <cols>
    <col min="2" max="2" width="67.5" bestFit="1" customWidth="1"/>
    <col min="3" max="3" width="13.5" customWidth="1"/>
    <col min="4" max="4" width="11.33203125" customWidth="1"/>
    <col min="5" max="5" width="14.6640625" style="4" customWidth="1"/>
    <col min="6" max="6" width="12.33203125" bestFit="1" customWidth="1"/>
    <col min="7" max="7" width="11.1640625" customWidth="1"/>
    <col min="8" max="8" width="16" customWidth="1"/>
  </cols>
  <sheetData>
    <row r="1" spans="1:8" ht="84.95" customHeight="1" thickBot="1">
      <c r="A1" s="27" t="s">
        <v>54</v>
      </c>
      <c r="B1" s="27" t="s">
        <v>55</v>
      </c>
      <c r="C1" s="28" t="s">
        <v>56</v>
      </c>
      <c r="D1" s="29" t="s">
        <v>57</v>
      </c>
      <c r="E1" s="28" t="s">
        <v>58</v>
      </c>
      <c r="F1" s="30" t="s">
        <v>59</v>
      </c>
      <c r="G1" s="31" t="s">
        <v>66</v>
      </c>
      <c r="H1" s="32" t="s">
        <v>60</v>
      </c>
    </row>
    <row r="2" spans="1:8" ht="15.75" customHeight="1" thickBot="1">
      <c r="A2" s="9"/>
      <c r="B2" s="10"/>
      <c r="C2" s="38" t="s">
        <v>62</v>
      </c>
      <c r="D2" s="38"/>
      <c r="E2" s="38"/>
      <c r="F2" s="38"/>
      <c r="G2" s="11"/>
      <c r="H2" s="12"/>
    </row>
    <row r="3" spans="1:8" ht="15.95" customHeight="1" thickBot="1">
      <c r="A3" s="24"/>
      <c r="B3" s="25"/>
      <c r="C3" s="25" t="s">
        <v>64</v>
      </c>
      <c r="D3" s="25" t="s">
        <v>65</v>
      </c>
      <c r="E3" s="25"/>
      <c r="F3" s="25"/>
      <c r="G3" s="25"/>
      <c r="H3" s="26"/>
    </row>
    <row r="4" spans="1:8" ht="15" customHeight="1">
      <c r="A4" s="19"/>
      <c r="B4" s="5" t="s">
        <v>0</v>
      </c>
      <c r="C4" s="20" t="s">
        <v>63</v>
      </c>
      <c r="D4" s="21">
        <v>195.13</v>
      </c>
      <c r="E4" s="6">
        <v>10</v>
      </c>
      <c r="F4" s="35">
        <f>D4/E4</f>
        <v>19.512999999999998</v>
      </c>
      <c r="G4" s="22">
        <v>10</v>
      </c>
      <c r="H4" s="23">
        <f>G4*F4</f>
        <v>195.13</v>
      </c>
    </row>
    <row r="5" spans="1:8" ht="17.25" customHeight="1">
      <c r="A5" s="17"/>
      <c r="B5" s="1" t="s">
        <v>1</v>
      </c>
      <c r="C5" s="18" t="s">
        <v>63</v>
      </c>
      <c r="D5" s="7">
        <v>442.34</v>
      </c>
      <c r="E5" s="2">
        <v>12.6</v>
      </c>
      <c r="F5" s="36">
        <f t="shared" ref="F5:F47" si="0">D5/E5</f>
        <v>35.106349206349208</v>
      </c>
      <c r="G5" s="15">
        <v>75</v>
      </c>
      <c r="H5" s="16">
        <f t="shared" ref="H5:H47" si="1">G5*F5</f>
        <v>2632.9761904761904</v>
      </c>
    </row>
    <row r="6" spans="1:8" ht="15" customHeight="1">
      <c r="A6" s="13"/>
      <c r="B6" s="1" t="s">
        <v>2</v>
      </c>
      <c r="C6" s="14" t="s">
        <v>63</v>
      </c>
      <c r="D6" s="3">
        <v>197.09</v>
      </c>
      <c r="E6" s="2">
        <v>5</v>
      </c>
      <c r="F6" s="36">
        <f t="shared" si="0"/>
        <v>39.417999999999999</v>
      </c>
      <c r="G6" s="15">
        <v>2</v>
      </c>
      <c r="H6" s="16">
        <f t="shared" si="1"/>
        <v>78.835999999999999</v>
      </c>
    </row>
    <row r="7" spans="1:8" ht="15" customHeight="1">
      <c r="A7" s="17"/>
      <c r="B7" s="1" t="s">
        <v>3</v>
      </c>
      <c r="C7" s="18" t="s">
        <v>61</v>
      </c>
      <c r="D7" s="3">
        <v>183.74</v>
      </c>
      <c r="E7" s="2">
        <v>270</v>
      </c>
      <c r="F7" s="36">
        <f t="shared" si="0"/>
        <v>0.68051851851851852</v>
      </c>
      <c r="G7" s="15">
        <v>823</v>
      </c>
      <c r="H7" s="16">
        <f t="shared" si="1"/>
        <v>560.06674074074078</v>
      </c>
    </row>
    <row r="8" spans="1:8" ht="15" customHeight="1">
      <c r="A8" s="17"/>
      <c r="B8" s="1" t="s">
        <v>4</v>
      </c>
      <c r="C8" s="18" t="s">
        <v>61</v>
      </c>
      <c r="D8" s="3">
        <v>236.39</v>
      </c>
      <c r="E8" s="2">
        <v>270</v>
      </c>
      <c r="F8" s="36">
        <f t="shared" si="0"/>
        <v>0.87551851851851847</v>
      </c>
      <c r="G8" s="15">
        <v>382</v>
      </c>
      <c r="H8" s="16">
        <f t="shared" si="1"/>
        <v>334.44807407407404</v>
      </c>
    </row>
    <row r="9" spans="1:8" ht="15" customHeight="1">
      <c r="A9" s="17"/>
      <c r="B9" s="1" t="s">
        <v>5</v>
      </c>
      <c r="C9" s="18" t="s">
        <v>61</v>
      </c>
      <c r="D9" s="3">
        <v>245.02</v>
      </c>
      <c r="E9" s="2">
        <v>252</v>
      </c>
      <c r="F9" s="36">
        <f t="shared" si="0"/>
        <v>0.97230158730158733</v>
      </c>
      <c r="G9" s="15">
        <v>948</v>
      </c>
      <c r="H9" s="16">
        <f t="shared" si="1"/>
        <v>921.74190476190483</v>
      </c>
    </row>
    <row r="10" spans="1:8" ht="15" customHeight="1">
      <c r="A10" s="13"/>
      <c r="B10" s="1" t="s">
        <v>6</v>
      </c>
      <c r="C10" s="14" t="s">
        <v>61</v>
      </c>
      <c r="D10" s="3">
        <v>336.84</v>
      </c>
      <c r="E10" s="2">
        <v>545</v>
      </c>
      <c r="F10" s="36">
        <f t="shared" si="0"/>
        <v>0.61805504587155957</v>
      </c>
      <c r="G10" s="15">
        <v>3598</v>
      </c>
      <c r="H10" s="16">
        <f t="shared" si="1"/>
        <v>2223.7620550458714</v>
      </c>
    </row>
    <row r="11" spans="1:8" ht="15" customHeight="1">
      <c r="A11" s="13"/>
      <c r="B11" s="1" t="s">
        <v>7</v>
      </c>
      <c r="C11" s="14" t="s">
        <v>61</v>
      </c>
      <c r="D11" s="3">
        <v>194.51</v>
      </c>
      <c r="E11" s="2">
        <v>108</v>
      </c>
      <c r="F11" s="36">
        <f t="shared" si="0"/>
        <v>1.8010185185185184</v>
      </c>
      <c r="G11" s="15">
        <v>0</v>
      </c>
      <c r="H11" s="16">
        <f t="shared" si="1"/>
        <v>0</v>
      </c>
    </row>
    <row r="12" spans="1:8" ht="15" customHeight="1">
      <c r="A12" s="13"/>
      <c r="B12" s="1" t="s">
        <v>8</v>
      </c>
      <c r="C12" s="14" t="s">
        <v>61</v>
      </c>
      <c r="D12" s="3">
        <v>531.98</v>
      </c>
      <c r="E12" s="2">
        <v>180</v>
      </c>
      <c r="F12" s="36">
        <f t="shared" si="0"/>
        <v>2.9554444444444448</v>
      </c>
      <c r="G12" s="15">
        <v>478</v>
      </c>
      <c r="H12" s="16">
        <f t="shared" si="1"/>
        <v>1412.7024444444446</v>
      </c>
    </row>
    <row r="13" spans="1:8" ht="15" customHeight="1">
      <c r="A13" s="13"/>
      <c r="B13" s="1" t="s">
        <v>9</v>
      </c>
      <c r="C13" s="14" t="s">
        <v>61</v>
      </c>
      <c r="D13" s="3">
        <v>299.01</v>
      </c>
      <c r="E13" s="2">
        <v>168</v>
      </c>
      <c r="F13" s="36">
        <f t="shared" si="0"/>
        <v>1.7798214285714284</v>
      </c>
      <c r="G13" s="15">
        <v>987</v>
      </c>
      <c r="H13" s="16">
        <f t="shared" si="1"/>
        <v>1756.6837499999999</v>
      </c>
    </row>
    <row r="14" spans="1:8" ht="17.25" customHeight="1">
      <c r="A14" s="13"/>
      <c r="B14" s="1" t="s">
        <v>10</v>
      </c>
      <c r="C14" s="14" t="s">
        <v>61</v>
      </c>
      <c r="D14" s="3">
        <v>160.65</v>
      </c>
      <c r="E14" s="2">
        <v>1187</v>
      </c>
      <c r="F14" s="36">
        <f t="shared" si="0"/>
        <v>0.13534119629317609</v>
      </c>
      <c r="G14" s="15">
        <v>1187</v>
      </c>
      <c r="H14" s="16">
        <f t="shared" si="1"/>
        <v>160.65000000000003</v>
      </c>
    </row>
    <row r="15" spans="1:8" ht="15.95" customHeight="1">
      <c r="A15" s="13"/>
      <c r="B15" s="1" t="s">
        <v>11</v>
      </c>
      <c r="C15" s="14" t="s">
        <v>61</v>
      </c>
      <c r="D15" s="3">
        <v>76.42</v>
      </c>
      <c r="E15" s="2">
        <v>3.2</v>
      </c>
      <c r="F15" s="36">
        <f t="shared" si="0"/>
        <v>23.881249999999998</v>
      </c>
      <c r="G15" s="15">
        <v>1</v>
      </c>
      <c r="H15" s="16">
        <f t="shared" si="1"/>
        <v>23.881249999999998</v>
      </c>
    </row>
    <row r="16" spans="1:8" ht="15.95" customHeight="1">
      <c r="A16" s="13"/>
      <c r="B16" s="1" t="s">
        <v>85</v>
      </c>
      <c r="C16" s="14" t="s">
        <v>63</v>
      </c>
      <c r="D16" s="3">
        <v>95.12</v>
      </c>
      <c r="E16" s="2">
        <v>5.5</v>
      </c>
      <c r="F16" s="36">
        <f t="shared" si="0"/>
        <v>17.294545454545457</v>
      </c>
      <c r="G16" s="15">
        <v>27</v>
      </c>
      <c r="H16" s="16">
        <f t="shared" si="1"/>
        <v>466.95272727272732</v>
      </c>
    </row>
    <row r="17" spans="1:8" ht="15.95" customHeight="1">
      <c r="A17" s="13"/>
      <c r="B17" s="1" t="s">
        <v>84</v>
      </c>
      <c r="C17" s="14" t="s">
        <v>63</v>
      </c>
      <c r="D17" s="3">
        <v>286.14</v>
      </c>
      <c r="E17" s="2">
        <v>1.01</v>
      </c>
      <c r="F17" s="36">
        <f t="shared" si="0"/>
        <v>283.30693069306932</v>
      </c>
      <c r="G17" s="15">
        <v>1</v>
      </c>
      <c r="H17" s="16">
        <f t="shared" si="1"/>
        <v>283.30693069306932</v>
      </c>
    </row>
    <row r="18" spans="1:8" ht="15.95" customHeight="1">
      <c r="A18" s="13"/>
      <c r="B18" s="1" t="s">
        <v>83</v>
      </c>
      <c r="C18" s="14" t="s">
        <v>63</v>
      </c>
      <c r="D18" s="3">
        <v>120.86</v>
      </c>
      <c r="E18" s="2">
        <v>1.5</v>
      </c>
      <c r="F18" s="36">
        <f t="shared" si="0"/>
        <v>80.573333333333338</v>
      </c>
      <c r="G18" s="15">
        <v>1</v>
      </c>
      <c r="H18" s="16">
        <f t="shared" si="1"/>
        <v>80.573333333333338</v>
      </c>
    </row>
    <row r="19" spans="1:8" ht="15.95" customHeight="1">
      <c r="A19" s="13"/>
      <c r="B19" s="1" t="s">
        <v>82</v>
      </c>
      <c r="C19" s="14" t="s">
        <v>63</v>
      </c>
      <c r="D19" s="3">
        <v>148.54</v>
      </c>
      <c r="E19" s="2">
        <v>4</v>
      </c>
      <c r="F19" s="36">
        <f t="shared" si="0"/>
        <v>37.134999999999998</v>
      </c>
      <c r="G19" s="15">
        <v>0</v>
      </c>
      <c r="H19" s="16">
        <f t="shared" si="1"/>
        <v>0</v>
      </c>
    </row>
    <row r="20" spans="1:8" ht="15.95" customHeight="1">
      <c r="A20" s="13"/>
      <c r="B20" s="1" t="s">
        <v>81</v>
      </c>
      <c r="C20" s="14" t="s">
        <v>61</v>
      </c>
      <c r="D20" s="3">
        <v>107.76</v>
      </c>
      <c r="E20" s="2">
        <v>1.29</v>
      </c>
      <c r="F20" s="36">
        <f t="shared" si="0"/>
        <v>83.534883720930239</v>
      </c>
      <c r="G20" s="15">
        <v>12</v>
      </c>
      <c r="H20" s="16">
        <f t="shared" si="1"/>
        <v>1002.4186046511629</v>
      </c>
    </row>
    <row r="21" spans="1:8" ht="15.95" customHeight="1">
      <c r="A21" s="13"/>
      <c r="B21" s="1" t="s">
        <v>80</v>
      </c>
      <c r="C21" s="14" t="s">
        <v>61</v>
      </c>
      <c r="D21" s="3">
        <v>92.96</v>
      </c>
      <c r="E21" s="2">
        <v>2</v>
      </c>
      <c r="F21" s="36">
        <f t="shared" si="0"/>
        <v>46.48</v>
      </c>
      <c r="G21" s="15">
        <v>37</v>
      </c>
      <c r="H21" s="16">
        <f t="shared" si="1"/>
        <v>1719.76</v>
      </c>
    </row>
    <row r="22" spans="1:8" ht="17.25" customHeight="1">
      <c r="A22" s="13"/>
      <c r="B22" s="1" t="s">
        <v>12</v>
      </c>
      <c r="C22" s="14" t="s">
        <v>63</v>
      </c>
      <c r="D22" s="3">
        <v>70.22</v>
      </c>
      <c r="E22" s="2">
        <v>4</v>
      </c>
      <c r="F22" s="36">
        <f t="shared" si="0"/>
        <v>17.555</v>
      </c>
      <c r="G22" s="15">
        <v>4</v>
      </c>
      <c r="H22" s="16">
        <f t="shared" si="1"/>
        <v>70.22</v>
      </c>
    </row>
    <row r="23" spans="1:8" ht="15" customHeight="1">
      <c r="A23" s="13"/>
      <c r="B23" s="1" t="s">
        <v>13</v>
      </c>
      <c r="C23" s="14" t="s">
        <v>63</v>
      </c>
      <c r="D23" s="3">
        <v>87.71</v>
      </c>
      <c r="E23" s="2">
        <v>7</v>
      </c>
      <c r="F23" s="36">
        <f t="shared" si="0"/>
        <v>12.53</v>
      </c>
      <c r="G23" s="15">
        <v>7</v>
      </c>
      <c r="H23" s="16">
        <f t="shared" si="1"/>
        <v>87.71</v>
      </c>
    </row>
    <row r="24" spans="1:8" ht="15" customHeight="1">
      <c r="A24" s="13"/>
      <c r="B24" s="8" t="s">
        <v>53</v>
      </c>
      <c r="C24" s="14" t="s">
        <v>61</v>
      </c>
      <c r="D24" s="3">
        <v>302.31</v>
      </c>
      <c r="E24" s="2">
        <v>768</v>
      </c>
      <c r="F24" s="36">
        <f t="shared" si="0"/>
        <v>0.39363281249999998</v>
      </c>
      <c r="G24" s="15">
        <v>384</v>
      </c>
      <c r="H24" s="16">
        <f t="shared" si="1"/>
        <v>151.155</v>
      </c>
    </row>
    <row r="25" spans="1:8" ht="15" customHeight="1">
      <c r="A25" s="13"/>
      <c r="B25" s="1" t="s">
        <v>14</v>
      </c>
      <c r="C25" s="14" t="s">
        <v>63</v>
      </c>
      <c r="D25" s="3">
        <v>109.61</v>
      </c>
      <c r="E25" s="2">
        <v>25</v>
      </c>
      <c r="F25" s="36">
        <f t="shared" si="0"/>
        <v>4.3844000000000003</v>
      </c>
      <c r="G25" s="15">
        <v>125</v>
      </c>
      <c r="H25" s="16">
        <f t="shared" si="1"/>
        <v>548.05000000000007</v>
      </c>
    </row>
    <row r="26" spans="1:8" ht="15" customHeight="1">
      <c r="A26" s="13"/>
      <c r="B26" s="1" t="s">
        <v>15</v>
      </c>
      <c r="C26" s="14" t="s">
        <v>63</v>
      </c>
      <c r="D26" s="3">
        <v>211.47</v>
      </c>
      <c r="E26" s="2">
        <v>18</v>
      </c>
      <c r="F26" s="36">
        <f t="shared" si="0"/>
        <v>11.748333333333333</v>
      </c>
      <c r="G26" s="15">
        <v>216</v>
      </c>
      <c r="H26" s="16">
        <f t="shared" si="1"/>
        <v>2537.64</v>
      </c>
    </row>
    <row r="27" spans="1:8" ht="17.25" customHeight="1">
      <c r="A27" s="13"/>
      <c r="B27" s="1" t="s">
        <v>16</v>
      </c>
      <c r="C27" s="14" t="s">
        <v>61</v>
      </c>
      <c r="D27" s="3">
        <v>275.45</v>
      </c>
      <c r="E27" s="2">
        <v>1200</v>
      </c>
      <c r="F27" s="36">
        <f t="shared" si="0"/>
        <v>0.22954166666666664</v>
      </c>
      <c r="G27" s="15">
        <v>54</v>
      </c>
      <c r="H27" s="16">
        <f t="shared" si="1"/>
        <v>12.395249999999999</v>
      </c>
    </row>
    <row r="28" spans="1:8" ht="17.25" customHeight="1">
      <c r="A28" s="13"/>
      <c r="B28" s="1" t="s">
        <v>17</v>
      </c>
      <c r="C28" s="14" t="s">
        <v>61</v>
      </c>
      <c r="D28" s="3">
        <v>29.46</v>
      </c>
      <c r="E28" s="2">
        <v>2500</v>
      </c>
      <c r="F28" s="36">
        <f t="shared" si="0"/>
        <v>1.1784000000000001E-2</v>
      </c>
      <c r="G28" s="15">
        <v>1956</v>
      </c>
      <c r="H28" s="16">
        <f t="shared" si="1"/>
        <v>23.049504000000002</v>
      </c>
    </row>
    <row r="29" spans="1:8" ht="15" customHeight="1">
      <c r="A29" s="13"/>
      <c r="B29" s="1" t="s">
        <v>18</v>
      </c>
      <c r="C29" s="14" t="s">
        <v>61</v>
      </c>
      <c r="D29" s="3">
        <v>47.87</v>
      </c>
      <c r="E29" s="2">
        <v>48</v>
      </c>
      <c r="F29" s="36">
        <f t="shared" si="0"/>
        <v>0.99729166666666658</v>
      </c>
      <c r="G29" s="15">
        <v>0</v>
      </c>
      <c r="H29" s="16">
        <f t="shared" si="1"/>
        <v>0</v>
      </c>
    </row>
    <row r="30" spans="1:8" ht="17.25" customHeight="1">
      <c r="A30" s="13"/>
      <c r="B30" s="1" t="s">
        <v>19</v>
      </c>
      <c r="C30" s="14" t="s">
        <v>63</v>
      </c>
      <c r="D30" s="3">
        <v>451.35</v>
      </c>
      <c r="E30" s="2">
        <v>22</v>
      </c>
      <c r="F30" s="36">
        <f t="shared" si="0"/>
        <v>20.515909090909091</v>
      </c>
      <c r="G30" s="15">
        <v>24</v>
      </c>
      <c r="H30" s="16">
        <f t="shared" si="1"/>
        <v>492.38181818181818</v>
      </c>
    </row>
    <row r="31" spans="1:8" ht="17.25" customHeight="1">
      <c r="A31" s="13"/>
      <c r="B31" s="8" t="s">
        <v>68</v>
      </c>
      <c r="C31" s="14" t="s">
        <v>61</v>
      </c>
      <c r="D31" s="3">
        <v>201.1</v>
      </c>
      <c r="E31" s="2">
        <v>160</v>
      </c>
      <c r="F31" s="36">
        <f t="shared" si="0"/>
        <v>1.256875</v>
      </c>
      <c r="G31" s="15">
        <v>0</v>
      </c>
      <c r="H31" s="16">
        <f t="shared" si="1"/>
        <v>0</v>
      </c>
    </row>
    <row r="32" spans="1:8" ht="17.25" customHeight="1">
      <c r="A32" s="13"/>
      <c r="B32" s="1" t="s">
        <v>20</v>
      </c>
      <c r="C32" s="14" t="s">
        <v>61</v>
      </c>
      <c r="D32" s="3">
        <v>247.37</v>
      </c>
      <c r="E32" s="2">
        <v>200</v>
      </c>
      <c r="F32" s="36">
        <f t="shared" si="0"/>
        <v>1.23685</v>
      </c>
      <c r="G32" s="15">
        <v>112</v>
      </c>
      <c r="H32" s="16">
        <f t="shared" si="1"/>
        <v>138.52719999999999</v>
      </c>
    </row>
    <row r="33" spans="1:8" ht="17.25" customHeight="1">
      <c r="A33" s="13"/>
      <c r="B33" s="8" t="s">
        <v>69</v>
      </c>
      <c r="C33" s="14" t="s">
        <v>61</v>
      </c>
      <c r="D33" s="3">
        <v>325.33</v>
      </c>
      <c r="E33" s="2">
        <v>500</v>
      </c>
      <c r="F33" s="36">
        <f t="shared" si="0"/>
        <v>0.65066000000000002</v>
      </c>
      <c r="G33" s="15">
        <v>325</v>
      </c>
      <c r="H33" s="16">
        <f t="shared" si="1"/>
        <v>211.46450000000002</v>
      </c>
    </row>
    <row r="34" spans="1:8" ht="17.25" customHeight="1">
      <c r="A34" s="13"/>
      <c r="B34" s="1" t="s">
        <v>21</v>
      </c>
      <c r="C34" s="14" t="s">
        <v>61</v>
      </c>
      <c r="D34" s="3">
        <v>155.77000000000001</v>
      </c>
      <c r="E34" s="2">
        <v>100</v>
      </c>
      <c r="F34" s="36">
        <f t="shared" si="0"/>
        <v>1.5577000000000001</v>
      </c>
      <c r="G34" s="15">
        <v>49</v>
      </c>
      <c r="H34" s="16">
        <f t="shared" si="1"/>
        <v>76.327300000000008</v>
      </c>
    </row>
    <row r="35" spans="1:8" ht="17.25" customHeight="1">
      <c r="A35" s="13"/>
      <c r="B35" s="1" t="s">
        <v>22</v>
      </c>
      <c r="C35" s="14" t="s">
        <v>61</v>
      </c>
      <c r="D35" s="3">
        <v>100.27</v>
      </c>
      <c r="E35" s="2">
        <v>100</v>
      </c>
      <c r="F35" s="36">
        <f t="shared" si="0"/>
        <v>1.0026999999999999</v>
      </c>
      <c r="G35" s="15">
        <v>16</v>
      </c>
      <c r="H35" s="16">
        <f t="shared" si="1"/>
        <v>16.043199999999999</v>
      </c>
    </row>
    <row r="36" spans="1:8" ht="17.25" customHeight="1">
      <c r="A36" s="13"/>
      <c r="B36" s="1" t="s">
        <v>23</v>
      </c>
      <c r="C36" s="14" t="s">
        <v>61</v>
      </c>
      <c r="D36" s="3">
        <v>138.4</v>
      </c>
      <c r="E36" s="2">
        <v>300</v>
      </c>
      <c r="F36" s="36">
        <f t="shared" si="0"/>
        <v>0.46133333333333337</v>
      </c>
      <c r="G36" s="15">
        <v>2418</v>
      </c>
      <c r="H36" s="16">
        <f t="shared" si="1"/>
        <v>1115.5040000000001</v>
      </c>
    </row>
    <row r="37" spans="1:8" ht="17.25" customHeight="1">
      <c r="A37" s="13"/>
      <c r="B37" s="1" t="s">
        <v>24</v>
      </c>
      <c r="C37" s="14" t="s">
        <v>61</v>
      </c>
      <c r="D37" s="3">
        <v>302.45999999999998</v>
      </c>
      <c r="E37" s="2">
        <v>1600</v>
      </c>
      <c r="F37" s="36">
        <f t="shared" si="0"/>
        <v>0.1890375</v>
      </c>
      <c r="G37" s="15">
        <v>1520</v>
      </c>
      <c r="H37" s="16">
        <f t="shared" si="1"/>
        <v>287.33699999999999</v>
      </c>
    </row>
    <row r="38" spans="1:8" ht="17.25" customHeight="1">
      <c r="A38" s="13"/>
      <c r="B38" s="1" t="s">
        <v>25</v>
      </c>
      <c r="C38" s="14" t="s">
        <v>61</v>
      </c>
      <c r="D38" s="3">
        <v>190.31</v>
      </c>
      <c r="E38" s="2">
        <v>1600</v>
      </c>
      <c r="F38" s="36">
        <f t="shared" si="0"/>
        <v>0.11894375</v>
      </c>
      <c r="G38" s="15">
        <v>1435</v>
      </c>
      <c r="H38" s="16">
        <f t="shared" si="1"/>
        <v>170.68428125</v>
      </c>
    </row>
    <row r="39" spans="1:8" ht="17.25" customHeight="1">
      <c r="A39" s="13"/>
      <c r="B39" s="1" t="s">
        <v>26</v>
      </c>
      <c r="C39" s="14" t="s">
        <v>61</v>
      </c>
      <c r="D39" s="3">
        <v>137.28</v>
      </c>
      <c r="E39" s="2">
        <v>500</v>
      </c>
      <c r="F39" s="36">
        <f t="shared" si="0"/>
        <v>0.27456000000000003</v>
      </c>
      <c r="G39" s="15">
        <v>408</v>
      </c>
      <c r="H39" s="16">
        <f t="shared" si="1"/>
        <v>112.02048000000001</v>
      </c>
    </row>
    <row r="40" spans="1:8" ht="17.25" customHeight="1">
      <c r="A40" s="13"/>
      <c r="B40" s="1" t="s">
        <v>27</v>
      </c>
      <c r="C40" s="14" t="s">
        <v>61</v>
      </c>
      <c r="D40" s="3">
        <v>277.7</v>
      </c>
      <c r="E40" s="2">
        <v>900</v>
      </c>
      <c r="F40" s="36">
        <f t="shared" si="0"/>
        <v>0.30855555555555553</v>
      </c>
      <c r="G40" s="15">
        <v>1100</v>
      </c>
      <c r="H40" s="16">
        <f t="shared" si="1"/>
        <v>339.4111111111111</v>
      </c>
    </row>
    <row r="41" spans="1:8" ht="17.25" customHeight="1">
      <c r="A41" s="13"/>
      <c r="B41" s="1" t="s">
        <v>70</v>
      </c>
      <c r="C41" s="14" t="s">
        <v>61</v>
      </c>
      <c r="D41" s="3">
        <v>100.47</v>
      </c>
      <c r="E41" s="2">
        <v>500</v>
      </c>
      <c r="F41" s="36">
        <f t="shared" si="0"/>
        <v>0.20094000000000001</v>
      </c>
      <c r="G41" s="15">
        <v>875</v>
      </c>
      <c r="H41" s="16">
        <f t="shared" si="1"/>
        <v>175.82250000000002</v>
      </c>
    </row>
    <row r="42" spans="1:8" ht="17.25" customHeight="1">
      <c r="A42" s="13"/>
      <c r="B42" s="1" t="s">
        <v>71</v>
      </c>
      <c r="C42" s="14" t="s">
        <v>61</v>
      </c>
      <c r="D42" s="3">
        <v>88.21</v>
      </c>
      <c r="E42" s="2">
        <v>1000</v>
      </c>
      <c r="F42" s="36">
        <f t="shared" si="0"/>
        <v>8.8209999999999997E-2</v>
      </c>
      <c r="G42" s="15">
        <v>12</v>
      </c>
      <c r="H42" s="16">
        <f t="shared" si="1"/>
        <v>1.0585199999999999</v>
      </c>
    </row>
    <row r="43" spans="1:8" ht="17.25" customHeight="1">
      <c r="A43" s="13"/>
      <c r="B43" s="1" t="s">
        <v>28</v>
      </c>
      <c r="C43" s="14" t="s">
        <v>61</v>
      </c>
      <c r="D43" s="3">
        <v>108.25</v>
      </c>
      <c r="E43" s="2">
        <v>1000</v>
      </c>
      <c r="F43" s="36">
        <f t="shared" si="0"/>
        <v>0.10825</v>
      </c>
      <c r="G43" s="15">
        <v>1158</v>
      </c>
      <c r="H43" s="16">
        <f t="shared" si="1"/>
        <v>125.3535</v>
      </c>
    </row>
    <row r="44" spans="1:8" ht="15.95" customHeight="1">
      <c r="A44" s="13"/>
      <c r="B44" s="1" t="s">
        <v>29</v>
      </c>
      <c r="C44" s="14" t="s">
        <v>61</v>
      </c>
      <c r="D44" s="3">
        <v>111.81</v>
      </c>
      <c r="E44" s="2">
        <v>4000</v>
      </c>
      <c r="F44" s="36">
        <f t="shared" si="0"/>
        <v>2.7952500000000002E-2</v>
      </c>
      <c r="G44" s="15">
        <v>471</v>
      </c>
      <c r="H44" s="16">
        <f t="shared" si="1"/>
        <v>13.165627500000001</v>
      </c>
    </row>
    <row r="45" spans="1:8" ht="17.25" customHeight="1">
      <c r="A45" s="13"/>
      <c r="B45" s="1" t="s">
        <v>30</v>
      </c>
      <c r="C45" s="14" t="s">
        <v>61</v>
      </c>
      <c r="D45" s="3">
        <v>12.21</v>
      </c>
      <c r="E45" s="2">
        <v>500</v>
      </c>
      <c r="F45" s="36">
        <f t="shared" si="0"/>
        <v>2.4420000000000001E-2</v>
      </c>
      <c r="G45" s="15">
        <v>1500</v>
      </c>
      <c r="H45" s="16">
        <f t="shared" si="1"/>
        <v>36.630000000000003</v>
      </c>
    </row>
    <row r="46" spans="1:8" ht="17.25" customHeight="1">
      <c r="A46" s="13"/>
      <c r="B46" s="1" t="s">
        <v>31</v>
      </c>
      <c r="C46" s="14" t="s">
        <v>61</v>
      </c>
      <c r="D46" s="3">
        <v>291.42</v>
      </c>
      <c r="E46" s="2">
        <v>3000</v>
      </c>
      <c r="F46" s="36">
        <f t="shared" si="0"/>
        <v>9.7140000000000004E-2</v>
      </c>
      <c r="G46" s="15">
        <v>6000</v>
      </c>
      <c r="H46" s="16">
        <f t="shared" si="1"/>
        <v>582.84</v>
      </c>
    </row>
    <row r="47" spans="1:8" ht="17.25" customHeight="1">
      <c r="A47" s="13"/>
      <c r="B47" s="1" t="s">
        <v>32</v>
      </c>
      <c r="C47" s="14" t="s">
        <v>61</v>
      </c>
      <c r="D47" s="3">
        <v>156.9</v>
      </c>
      <c r="E47" s="2">
        <v>3000</v>
      </c>
      <c r="F47" s="36">
        <f t="shared" si="0"/>
        <v>5.2299999999999999E-2</v>
      </c>
      <c r="G47" s="15">
        <v>3000</v>
      </c>
      <c r="H47" s="16">
        <f t="shared" si="1"/>
        <v>156.9</v>
      </c>
    </row>
    <row r="48" spans="1:8" ht="17.25" customHeight="1">
      <c r="A48" s="13"/>
      <c r="B48" s="1" t="s">
        <v>33</v>
      </c>
      <c r="C48" s="14" t="s">
        <v>61</v>
      </c>
      <c r="D48" s="3">
        <v>149.9</v>
      </c>
      <c r="E48" s="2">
        <v>1000</v>
      </c>
      <c r="F48" s="36">
        <f t="shared" ref="F48:F80" si="2">D48/E48</f>
        <v>0.14990000000000001</v>
      </c>
      <c r="G48" s="15">
        <v>236</v>
      </c>
      <c r="H48" s="16">
        <f t="shared" ref="H48:H80" si="3">G48*F48</f>
        <v>35.376400000000004</v>
      </c>
    </row>
    <row r="49" spans="1:8" ht="17.25" customHeight="1">
      <c r="A49" s="13"/>
      <c r="B49" s="1" t="s">
        <v>34</v>
      </c>
      <c r="C49" s="14" t="s">
        <v>61</v>
      </c>
      <c r="D49" s="3">
        <v>136.1</v>
      </c>
      <c r="E49" s="2">
        <v>1000</v>
      </c>
      <c r="F49" s="36">
        <f t="shared" si="2"/>
        <v>0.1361</v>
      </c>
      <c r="G49" s="15">
        <v>946</v>
      </c>
      <c r="H49" s="16">
        <f t="shared" si="3"/>
        <v>128.75059999999999</v>
      </c>
    </row>
    <row r="50" spans="1:8" ht="17.25" customHeight="1">
      <c r="A50" s="13"/>
      <c r="B50" s="1" t="s">
        <v>35</v>
      </c>
      <c r="C50" s="14" t="s">
        <v>61</v>
      </c>
      <c r="D50" s="3">
        <v>33.15</v>
      </c>
      <c r="E50" s="2">
        <v>242</v>
      </c>
      <c r="F50" s="36">
        <f t="shared" si="2"/>
        <v>0.13698347107438016</v>
      </c>
      <c r="G50" s="15">
        <v>1068</v>
      </c>
      <c r="H50" s="16">
        <f t="shared" si="3"/>
        <v>146.29834710743802</v>
      </c>
    </row>
    <row r="51" spans="1:8" ht="17.25" customHeight="1">
      <c r="A51" s="13"/>
      <c r="B51" s="1" t="s">
        <v>36</v>
      </c>
      <c r="C51" s="14" t="s">
        <v>61</v>
      </c>
      <c r="D51" s="3">
        <v>146.27000000000001</v>
      </c>
      <c r="E51" s="2">
        <v>250</v>
      </c>
      <c r="F51" s="36">
        <f t="shared" si="2"/>
        <v>0.58508000000000004</v>
      </c>
      <c r="G51" s="15">
        <v>769</v>
      </c>
      <c r="H51" s="16">
        <f t="shared" si="3"/>
        <v>449.92652000000004</v>
      </c>
    </row>
    <row r="52" spans="1:8" ht="17.25" customHeight="1">
      <c r="A52" s="13"/>
      <c r="B52" s="1" t="s">
        <v>37</v>
      </c>
      <c r="C52" s="14" t="s">
        <v>61</v>
      </c>
      <c r="D52" s="3">
        <v>32.47</v>
      </c>
      <c r="E52" s="2">
        <v>500</v>
      </c>
      <c r="F52" s="36">
        <f t="shared" si="2"/>
        <v>6.4939999999999998E-2</v>
      </c>
      <c r="G52" s="15">
        <v>1031</v>
      </c>
      <c r="H52" s="16">
        <f t="shared" si="3"/>
        <v>66.953139999999991</v>
      </c>
    </row>
    <row r="53" spans="1:8" ht="15" customHeight="1">
      <c r="A53" s="13"/>
      <c r="B53" s="1" t="s">
        <v>38</v>
      </c>
      <c r="C53" s="14" t="s">
        <v>61</v>
      </c>
      <c r="D53" s="3">
        <v>119.97</v>
      </c>
      <c r="E53" s="2">
        <v>2500</v>
      </c>
      <c r="F53" s="36">
        <f t="shared" si="2"/>
        <v>4.7988000000000003E-2</v>
      </c>
      <c r="G53" s="15">
        <v>3500</v>
      </c>
      <c r="H53" s="16">
        <f t="shared" si="3"/>
        <v>167.958</v>
      </c>
    </row>
    <row r="54" spans="1:8" ht="17.25" customHeight="1">
      <c r="A54" s="13"/>
      <c r="B54" s="1" t="s">
        <v>39</v>
      </c>
      <c r="C54" s="14" t="s">
        <v>61</v>
      </c>
      <c r="D54" s="3">
        <v>112.53</v>
      </c>
      <c r="E54" s="2">
        <v>5400</v>
      </c>
      <c r="F54" s="36">
        <f t="shared" si="2"/>
        <v>2.0838888888888889E-2</v>
      </c>
      <c r="G54" s="15">
        <v>5000</v>
      </c>
      <c r="H54" s="16">
        <f t="shared" si="3"/>
        <v>104.19444444444444</v>
      </c>
    </row>
    <row r="55" spans="1:8" ht="17.25" customHeight="1">
      <c r="A55" s="13"/>
      <c r="B55" s="1" t="s">
        <v>40</v>
      </c>
      <c r="C55" s="14" t="s">
        <v>61</v>
      </c>
      <c r="D55" s="3">
        <v>179.28</v>
      </c>
      <c r="E55" s="2">
        <v>400</v>
      </c>
      <c r="F55" s="36">
        <f t="shared" si="2"/>
        <v>0.44819999999999999</v>
      </c>
      <c r="G55" s="15">
        <v>210</v>
      </c>
      <c r="H55" s="16">
        <f t="shared" si="3"/>
        <v>94.122</v>
      </c>
    </row>
    <row r="56" spans="1:8" ht="17.25" customHeight="1">
      <c r="A56" s="13"/>
      <c r="B56" s="1" t="s">
        <v>41</v>
      </c>
      <c r="C56" s="14" t="s">
        <v>61</v>
      </c>
      <c r="D56" s="3">
        <v>173.92</v>
      </c>
      <c r="E56" s="2">
        <v>1800</v>
      </c>
      <c r="F56" s="36">
        <f t="shared" si="2"/>
        <v>9.662222222222222E-2</v>
      </c>
      <c r="G56" s="15">
        <v>1700</v>
      </c>
      <c r="H56" s="16">
        <f t="shared" si="3"/>
        <v>164.25777777777776</v>
      </c>
    </row>
    <row r="57" spans="1:8" ht="17.25" customHeight="1">
      <c r="A57" s="13"/>
      <c r="B57" s="1" t="s">
        <v>42</v>
      </c>
      <c r="C57" s="14" t="s">
        <v>61</v>
      </c>
      <c r="D57" s="3">
        <v>10.73</v>
      </c>
      <c r="E57" s="2">
        <v>176</v>
      </c>
      <c r="F57" s="36">
        <f t="shared" si="2"/>
        <v>6.0965909090909091E-2</v>
      </c>
      <c r="G57" s="15">
        <v>5104</v>
      </c>
      <c r="H57" s="16">
        <f t="shared" si="3"/>
        <v>311.17</v>
      </c>
    </row>
    <row r="58" spans="1:8" ht="15" customHeight="1">
      <c r="A58" s="13"/>
      <c r="B58" s="1" t="s">
        <v>43</v>
      </c>
      <c r="C58" s="14" t="s">
        <v>61</v>
      </c>
      <c r="D58" s="3">
        <v>97.4</v>
      </c>
      <c r="E58" s="2">
        <v>36</v>
      </c>
      <c r="F58" s="36">
        <f t="shared" si="2"/>
        <v>2.7055555555555557</v>
      </c>
      <c r="G58" s="15">
        <v>38</v>
      </c>
      <c r="H58" s="16">
        <f t="shared" si="3"/>
        <v>102.81111111111112</v>
      </c>
    </row>
    <row r="59" spans="1:8" ht="15" customHeight="1">
      <c r="A59" s="13"/>
      <c r="B59" s="1" t="s">
        <v>44</v>
      </c>
      <c r="C59" s="14" t="s">
        <v>63</v>
      </c>
      <c r="D59" s="3">
        <v>104.63</v>
      </c>
      <c r="E59" s="2">
        <v>5.5</v>
      </c>
      <c r="F59" s="36">
        <f t="shared" si="2"/>
        <v>19.023636363636363</v>
      </c>
      <c r="G59" s="37">
        <v>11</v>
      </c>
      <c r="H59" s="16">
        <f t="shared" si="3"/>
        <v>209.26</v>
      </c>
    </row>
    <row r="60" spans="1:8" ht="15" customHeight="1">
      <c r="A60" s="13"/>
      <c r="B60" s="1" t="s">
        <v>45</v>
      </c>
      <c r="C60" s="14" t="s">
        <v>61</v>
      </c>
      <c r="D60" s="3">
        <v>92.69</v>
      </c>
      <c r="E60" s="2">
        <v>144</v>
      </c>
      <c r="F60" s="36">
        <f t="shared" si="2"/>
        <v>0.64368055555555559</v>
      </c>
      <c r="G60" s="15">
        <v>140</v>
      </c>
      <c r="H60" s="16">
        <f t="shared" si="3"/>
        <v>90.115277777777777</v>
      </c>
    </row>
    <row r="61" spans="1:8" ht="15" customHeight="1">
      <c r="A61" s="13"/>
      <c r="B61" s="1" t="s">
        <v>46</v>
      </c>
      <c r="C61" s="14" t="s">
        <v>63</v>
      </c>
      <c r="D61" s="3">
        <v>87.88</v>
      </c>
      <c r="E61" s="2">
        <v>5.5</v>
      </c>
      <c r="F61" s="36">
        <f t="shared" si="2"/>
        <v>15.978181818181817</v>
      </c>
      <c r="G61" s="15">
        <v>44</v>
      </c>
      <c r="H61" s="16">
        <f t="shared" si="3"/>
        <v>703.04</v>
      </c>
    </row>
    <row r="62" spans="1:8" ht="17.25" customHeight="1">
      <c r="A62" s="13"/>
      <c r="B62" s="1" t="s">
        <v>47</v>
      </c>
      <c r="C62" s="14" t="s">
        <v>63</v>
      </c>
      <c r="D62" s="3">
        <v>111.99</v>
      </c>
      <c r="E62" s="2">
        <v>5.5</v>
      </c>
      <c r="F62" s="36">
        <f t="shared" si="2"/>
        <v>20.36181818181818</v>
      </c>
      <c r="G62" s="15">
        <v>27</v>
      </c>
      <c r="H62" s="16">
        <f t="shared" si="3"/>
        <v>549.76909090909089</v>
      </c>
    </row>
    <row r="63" spans="1:8" ht="15" customHeight="1">
      <c r="A63" s="13"/>
      <c r="B63" s="1" t="s">
        <v>48</v>
      </c>
      <c r="C63" s="14" t="s">
        <v>61</v>
      </c>
      <c r="D63" s="3">
        <v>104.28</v>
      </c>
      <c r="E63" s="2">
        <v>72</v>
      </c>
      <c r="F63" s="36">
        <f t="shared" si="2"/>
        <v>1.4483333333333333</v>
      </c>
      <c r="G63" s="15">
        <v>0</v>
      </c>
      <c r="H63" s="16">
        <f t="shared" si="3"/>
        <v>0</v>
      </c>
    </row>
    <row r="64" spans="1:8" ht="17.25" customHeight="1">
      <c r="A64" s="13"/>
      <c r="B64" s="1" t="s">
        <v>49</v>
      </c>
      <c r="C64" s="14" t="s">
        <v>63</v>
      </c>
      <c r="D64" s="3">
        <v>115.15</v>
      </c>
      <c r="E64" s="2">
        <v>5.5</v>
      </c>
      <c r="F64" s="36">
        <f t="shared" si="2"/>
        <v>20.936363636363637</v>
      </c>
      <c r="G64" s="15">
        <v>16</v>
      </c>
      <c r="H64" s="16">
        <f t="shared" si="3"/>
        <v>334.9818181818182</v>
      </c>
    </row>
    <row r="65" spans="1:8" ht="17.25" customHeight="1">
      <c r="A65" s="13"/>
      <c r="B65" s="1" t="s">
        <v>50</v>
      </c>
      <c r="C65" s="14" t="s">
        <v>61</v>
      </c>
      <c r="D65" s="3">
        <v>8.44</v>
      </c>
      <c r="E65" s="2">
        <v>192</v>
      </c>
      <c r="F65" s="36">
        <f t="shared" si="2"/>
        <v>4.3958333333333328E-2</v>
      </c>
      <c r="G65" s="15">
        <v>384</v>
      </c>
      <c r="H65" s="16">
        <f t="shared" si="3"/>
        <v>16.88</v>
      </c>
    </row>
    <row r="66" spans="1:8" ht="17.25" customHeight="1">
      <c r="A66" s="13"/>
      <c r="B66" s="1" t="s">
        <v>72</v>
      </c>
      <c r="C66" s="14" t="s">
        <v>61</v>
      </c>
      <c r="D66" s="3">
        <v>83.13</v>
      </c>
      <c r="E66" s="2">
        <v>5.5</v>
      </c>
      <c r="F66" s="36">
        <f t="shared" si="2"/>
        <v>15.114545454545453</v>
      </c>
      <c r="G66" s="15">
        <v>0</v>
      </c>
      <c r="H66" s="16">
        <f t="shared" si="3"/>
        <v>0</v>
      </c>
    </row>
    <row r="67" spans="1:8" ht="17.25" customHeight="1">
      <c r="A67" s="13"/>
      <c r="B67" s="1" t="s">
        <v>73</v>
      </c>
      <c r="C67" s="14" t="s">
        <v>61</v>
      </c>
      <c r="D67" s="3">
        <v>65.59</v>
      </c>
      <c r="E67" s="2">
        <v>5.5</v>
      </c>
      <c r="F67" s="36">
        <f t="shared" si="2"/>
        <v>11.925454545454546</v>
      </c>
      <c r="G67" s="15">
        <v>0</v>
      </c>
      <c r="H67" s="16">
        <f t="shared" si="3"/>
        <v>0</v>
      </c>
    </row>
    <row r="68" spans="1:8" ht="17.25" customHeight="1">
      <c r="A68" s="13"/>
      <c r="B68" s="1" t="s">
        <v>74</v>
      </c>
      <c r="C68" s="14" t="s">
        <v>61</v>
      </c>
      <c r="D68" s="3">
        <v>13.52</v>
      </c>
      <c r="E68" s="2">
        <v>2.25</v>
      </c>
      <c r="F68" s="36">
        <f t="shared" si="2"/>
        <v>6.0088888888888885</v>
      </c>
      <c r="G68" s="15">
        <v>329</v>
      </c>
      <c r="H68" s="16">
        <f t="shared" si="3"/>
        <v>1976.9244444444444</v>
      </c>
    </row>
    <row r="69" spans="1:8" ht="17.25" customHeight="1">
      <c r="A69" s="13"/>
      <c r="B69" s="8" t="s">
        <v>75</v>
      </c>
      <c r="C69" s="14" t="s">
        <v>61</v>
      </c>
      <c r="D69" s="3">
        <v>34.81</v>
      </c>
      <c r="E69" s="2">
        <v>2.3199999999999998</v>
      </c>
      <c r="F69" s="36">
        <f t="shared" si="2"/>
        <v>15.004310344827589</v>
      </c>
      <c r="G69" s="15">
        <v>525</v>
      </c>
      <c r="H69" s="16">
        <f t="shared" si="3"/>
        <v>7877.2629310344846</v>
      </c>
    </row>
    <row r="70" spans="1:8" ht="17.25" customHeight="1">
      <c r="A70" s="13"/>
      <c r="B70" s="8" t="s">
        <v>76</v>
      </c>
      <c r="C70" s="14" t="s">
        <v>61</v>
      </c>
      <c r="D70" s="3">
        <v>13.75</v>
      </c>
      <c r="E70" s="2">
        <v>2.29</v>
      </c>
      <c r="F70" s="36">
        <f t="shared" si="2"/>
        <v>6.0043668122270741</v>
      </c>
      <c r="G70" s="15">
        <v>324</v>
      </c>
      <c r="H70" s="16">
        <f t="shared" si="3"/>
        <v>1945.414847161572</v>
      </c>
    </row>
    <row r="71" spans="1:8" ht="17.25" customHeight="1">
      <c r="A71" s="13"/>
      <c r="B71" s="8" t="s">
        <v>77</v>
      </c>
      <c r="C71" s="14" t="s">
        <v>61</v>
      </c>
      <c r="D71" s="3">
        <v>13.37</v>
      </c>
      <c r="E71" s="2">
        <v>2.2200000000000002</v>
      </c>
      <c r="F71" s="36">
        <f t="shared" si="2"/>
        <v>6.0225225225225216</v>
      </c>
      <c r="G71" s="15">
        <v>363</v>
      </c>
      <c r="H71" s="16">
        <f t="shared" si="3"/>
        <v>2186.1756756756754</v>
      </c>
    </row>
    <row r="72" spans="1:8" ht="17.25" customHeight="1">
      <c r="A72" s="13"/>
      <c r="B72" s="8" t="s">
        <v>78</v>
      </c>
      <c r="C72" s="14" t="s">
        <v>61</v>
      </c>
      <c r="D72" s="3">
        <v>13.05</v>
      </c>
      <c r="E72" s="2">
        <v>2.17</v>
      </c>
      <c r="F72" s="36">
        <f t="shared" si="2"/>
        <v>6.0138248847926272</v>
      </c>
      <c r="G72" s="15">
        <v>244</v>
      </c>
      <c r="H72" s="16">
        <f t="shared" si="3"/>
        <v>1467.3732718894009</v>
      </c>
    </row>
    <row r="73" spans="1:8" ht="17.25" customHeight="1">
      <c r="A73" s="13"/>
      <c r="B73" s="8" t="s">
        <v>79</v>
      </c>
      <c r="C73" s="14" t="s">
        <v>61</v>
      </c>
      <c r="D73" s="3">
        <v>13.05</v>
      </c>
      <c r="E73" s="2">
        <v>2.17</v>
      </c>
      <c r="F73" s="36">
        <f t="shared" si="2"/>
        <v>6.0138248847926272</v>
      </c>
      <c r="G73" s="15">
        <v>183</v>
      </c>
      <c r="H73" s="16">
        <f t="shared" si="3"/>
        <v>1100.5299539170508</v>
      </c>
    </row>
    <row r="74" spans="1:8" ht="17.25" customHeight="1">
      <c r="A74" s="13"/>
      <c r="B74" s="1" t="s">
        <v>51</v>
      </c>
      <c r="C74" s="14" t="s">
        <v>61</v>
      </c>
      <c r="D74" s="3">
        <v>38.659999999999997</v>
      </c>
      <c r="E74" s="2">
        <v>12</v>
      </c>
      <c r="F74" s="36">
        <f t="shared" si="2"/>
        <v>3.2216666666666662</v>
      </c>
      <c r="G74" s="15">
        <v>6</v>
      </c>
      <c r="H74" s="16">
        <f t="shared" si="3"/>
        <v>19.329999999999998</v>
      </c>
    </row>
    <row r="75" spans="1:8" ht="17.25" customHeight="1">
      <c r="A75" s="13"/>
      <c r="B75" s="1" t="s">
        <v>87</v>
      </c>
      <c r="C75" s="14" t="s">
        <v>63</v>
      </c>
      <c r="D75" s="3">
        <v>197.67</v>
      </c>
      <c r="E75" s="2">
        <v>10</v>
      </c>
      <c r="F75" s="36">
        <f t="shared" si="2"/>
        <v>19.766999999999999</v>
      </c>
      <c r="G75" s="15">
        <v>10</v>
      </c>
      <c r="H75" s="16">
        <f t="shared" si="3"/>
        <v>197.67</v>
      </c>
    </row>
    <row r="76" spans="1:8" ht="17.25" customHeight="1">
      <c r="A76" s="13"/>
      <c r="B76" s="1" t="s">
        <v>90</v>
      </c>
      <c r="C76" s="14" t="s">
        <v>63</v>
      </c>
      <c r="D76" s="3">
        <v>197.67</v>
      </c>
      <c r="E76" s="2">
        <v>10</v>
      </c>
      <c r="F76" s="36">
        <f t="shared" si="2"/>
        <v>19.766999999999999</v>
      </c>
      <c r="G76" s="15">
        <v>10</v>
      </c>
      <c r="H76" s="16">
        <f t="shared" si="3"/>
        <v>197.67</v>
      </c>
    </row>
    <row r="77" spans="1:8" ht="17.25" customHeight="1">
      <c r="A77" s="13"/>
      <c r="B77" s="1" t="s">
        <v>89</v>
      </c>
      <c r="C77" s="14" t="s">
        <v>63</v>
      </c>
      <c r="D77" s="3">
        <v>197.67</v>
      </c>
      <c r="E77" s="2">
        <v>10</v>
      </c>
      <c r="F77" s="36">
        <f t="shared" si="2"/>
        <v>19.766999999999999</v>
      </c>
      <c r="G77" s="15">
        <v>10</v>
      </c>
      <c r="H77" s="16">
        <f t="shared" si="3"/>
        <v>197.67</v>
      </c>
    </row>
    <row r="78" spans="1:8" ht="17.25" customHeight="1">
      <c r="A78" s="13"/>
      <c r="B78" s="1" t="s">
        <v>88</v>
      </c>
      <c r="C78" s="14" t="s">
        <v>63</v>
      </c>
      <c r="D78" s="3">
        <v>197.67</v>
      </c>
      <c r="E78" s="2">
        <v>10</v>
      </c>
      <c r="F78" s="36">
        <f t="shared" si="2"/>
        <v>19.766999999999999</v>
      </c>
      <c r="G78" s="15">
        <v>10</v>
      </c>
      <c r="H78" s="16">
        <f t="shared" si="3"/>
        <v>197.67</v>
      </c>
    </row>
    <row r="79" spans="1:8" ht="17.25" customHeight="1">
      <c r="A79" s="13"/>
      <c r="B79" s="1" t="s">
        <v>86</v>
      </c>
      <c r="C79" s="14" t="s">
        <v>63</v>
      </c>
      <c r="D79" s="3">
        <v>355.8</v>
      </c>
      <c r="E79" s="2">
        <v>18</v>
      </c>
      <c r="F79" s="36">
        <f t="shared" si="2"/>
        <v>19.766666666666666</v>
      </c>
      <c r="G79" s="15">
        <v>18</v>
      </c>
      <c r="H79" s="16">
        <f t="shared" si="3"/>
        <v>355.79999999999995</v>
      </c>
    </row>
    <row r="80" spans="1:8" ht="17.25" customHeight="1">
      <c r="A80" s="13"/>
      <c r="B80" s="1" t="s">
        <v>52</v>
      </c>
      <c r="C80" s="14" t="s">
        <v>61</v>
      </c>
      <c r="D80" s="3">
        <v>36.31</v>
      </c>
      <c r="E80" s="2">
        <v>12</v>
      </c>
      <c r="F80" s="36">
        <f t="shared" si="2"/>
        <v>3.0258333333333334</v>
      </c>
      <c r="G80" s="15">
        <v>4</v>
      </c>
      <c r="H80" s="16">
        <f t="shared" si="3"/>
        <v>12.103333333333333</v>
      </c>
    </row>
    <row r="82" spans="7:8" ht="13.5" thickBot="1"/>
    <row r="83" spans="7:8" ht="13.5" thickBot="1">
      <c r="G83" s="33" t="s">
        <v>67</v>
      </c>
      <c r="H83" s="34">
        <f>SUM(H4:H80)</f>
        <v>42743.039782301857</v>
      </c>
    </row>
  </sheetData>
  <protectedRanges>
    <protectedRange sqref="G4:G80" name="Intervalo1_1"/>
  </protectedRanges>
  <mergeCells count="1">
    <mergeCell ref="C2:F2"/>
  </mergeCells>
  <conditionalFormatting sqref="E4:H4 E5:E10 F5:H80">
    <cfRule type="cellIs" dxfId="1" priority="1" stopIfTrue="1" operator="equal">
      <formula>"AUMENTO"</formula>
    </cfRule>
    <cfRule type="cellIs" dxfId="0" priority="2" stopIfTrue="1" operator="equal">
      <formula>"DISMINUCIÓN"</formula>
    </cfRule>
  </conditionalFormatting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Contagem PLK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2026-06-01T12:34:47Z</cp:lastPrinted>
  <dcterms:created xsi:type="dcterms:W3CDTF">2024-04-08T17:06:24Z</dcterms:created>
  <dcterms:modified xsi:type="dcterms:W3CDTF">2026-07-03T13:16:39Z</dcterms:modified>
</cp:coreProperties>
</file>