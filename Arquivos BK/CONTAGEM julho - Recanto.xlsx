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BK Recanto\Desktop\"/>
    </mc:Choice>
  </mc:AlternateContent>
  <xr:revisionPtr revIDLastSave="0" documentId="8_{4DD3E95F-2C12-4649-8AD6-608C2EA3193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ntagem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1" i="1" l="1"/>
  <c r="H231" i="1"/>
  <c r="D231" i="1"/>
  <c r="H230" i="1"/>
  <c r="D230" i="1"/>
  <c r="H229" i="1"/>
  <c r="D229" i="1"/>
  <c r="I228" i="1"/>
  <c r="H228" i="1"/>
  <c r="D228" i="1"/>
  <c r="I227" i="1"/>
  <c r="H227" i="1"/>
  <c r="D227" i="1"/>
  <c r="I226" i="1"/>
  <c r="H226" i="1"/>
  <c r="D226" i="1"/>
  <c r="I225" i="1"/>
  <c r="H225" i="1"/>
  <c r="D225" i="1"/>
  <c r="I224" i="1"/>
  <c r="H224" i="1"/>
  <c r="D224" i="1"/>
  <c r="I223" i="1"/>
  <c r="H223" i="1"/>
  <c r="D223" i="1"/>
  <c r="I222" i="1"/>
  <c r="H222" i="1"/>
  <c r="D222" i="1"/>
  <c r="I221" i="1"/>
  <c r="H221" i="1"/>
  <c r="D221" i="1"/>
  <c r="I220" i="1"/>
  <c r="H220" i="1"/>
  <c r="D220" i="1"/>
  <c r="I219" i="1"/>
  <c r="H219" i="1"/>
  <c r="D219" i="1"/>
  <c r="I218" i="1"/>
  <c r="H218" i="1"/>
  <c r="D218" i="1"/>
  <c r="I217" i="1"/>
  <c r="H217" i="1"/>
  <c r="D217" i="1"/>
  <c r="H216" i="1"/>
  <c r="D216" i="1"/>
  <c r="I215" i="1"/>
  <c r="H215" i="1"/>
  <c r="D215" i="1"/>
  <c r="I214" i="1"/>
  <c r="H214" i="1"/>
  <c r="D214" i="1"/>
  <c r="I213" i="1"/>
  <c r="H213" i="1"/>
  <c r="D213" i="1"/>
  <c r="I212" i="1"/>
  <c r="H212" i="1"/>
  <c r="D212" i="1"/>
  <c r="I211" i="1"/>
  <c r="H211" i="1"/>
  <c r="D211" i="1"/>
  <c r="I210" i="1"/>
  <c r="H210" i="1"/>
  <c r="D210" i="1"/>
  <c r="I209" i="1"/>
  <c r="H209" i="1"/>
  <c r="D209" i="1"/>
  <c r="I208" i="1"/>
  <c r="H208" i="1"/>
  <c r="D208" i="1"/>
  <c r="I206" i="1"/>
  <c r="H206" i="1"/>
  <c r="D206" i="1"/>
  <c r="I205" i="1"/>
  <c r="H205" i="1"/>
  <c r="D205" i="1"/>
  <c r="I204" i="1"/>
  <c r="H204" i="1"/>
  <c r="D204" i="1"/>
  <c r="I203" i="1"/>
  <c r="H203" i="1"/>
  <c r="D203" i="1"/>
  <c r="I202" i="1"/>
  <c r="H202" i="1"/>
  <c r="D202" i="1"/>
  <c r="I201" i="1"/>
  <c r="H201" i="1"/>
  <c r="D201" i="1"/>
  <c r="I200" i="1"/>
  <c r="H200" i="1"/>
  <c r="D200" i="1"/>
  <c r="I199" i="1"/>
  <c r="H199" i="1"/>
  <c r="D199" i="1"/>
  <c r="I198" i="1"/>
  <c r="H198" i="1"/>
  <c r="D198" i="1"/>
  <c r="I197" i="1"/>
  <c r="H197" i="1"/>
  <c r="D197" i="1"/>
  <c r="I196" i="1"/>
  <c r="H196" i="1"/>
  <c r="D196" i="1"/>
  <c r="I194" i="1"/>
  <c r="H194" i="1"/>
  <c r="I193" i="1"/>
  <c r="H193" i="1"/>
  <c r="D193" i="1"/>
  <c r="I192" i="1"/>
  <c r="H192" i="1"/>
  <c r="D192" i="1"/>
  <c r="I191" i="1"/>
  <c r="H191" i="1"/>
  <c r="D191" i="1"/>
  <c r="I190" i="1"/>
  <c r="H190" i="1"/>
  <c r="D190" i="1"/>
  <c r="I189" i="1"/>
  <c r="H189" i="1"/>
  <c r="D189" i="1"/>
  <c r="I188" i="1"/>
  <c r="H188" i="1"/>
  <c r="D188" i="1"/>
  <c r="I187" i="1"/>
  <c r="H187" i="1"/>
  <c r="D187" i="1"/>
  <c r="I186" i="1"/>
  <c r="H186" i="1"/>
  <c r="D186" i="1"/>
  <c r="I185" i="1"/>
  <c r="H185" i="1"/>
  <c r="D185" i="1"/>
  <c r="I184" i="1"/>
  <c r="H184" i="1"/>
  <c r="D184" i="1"/>
  <c r="I183" i="1"/>
  <c r="H183" i="1"/>
  <c r="D183" i="1"/>
  <c r="I182" i="1"/>
  <c r="H182" i="1"/>
  <c r="D182" i="1"/>
  <c r="I181" i="1"/>
  <c r="H181" i="1"/>
  <c r="D181" i="1"/>
  <c r="I179" i="1"/>
  <c r="I178" i="1"/>
  <c r="H178" i="1"/>
  <c r="D178" i="1"/>
  <c r="I177" i="1"/>
  <c r="H177" i="1"/>
  <c r="D177" i="1"/>
  <c r="I176" i="1"/>
  <c r="H176" i="1"/>
  <c r="D176" i="1"/>
  <c r="I175" i="1"/>
  <c r="H175" i="1"/>
  <c r="D175" i="1"/>
  <c r="I174" i="1"/>
  <c r="H174" i="1"/>
  <c r="D174" i="1"/>
  <c r="I173" i="1"/>
  <c r="H173" i="1"/>
  <c r="D173" i="1"/>
  <c r="I172" i="1"/>
  <c r="H172" i="1"/>
  <c r="D172" i="1"/>
  <c r="I171" i="1"/>
  <c r="H171" i="1"/>
  <c r="D171" i="1"/>
  <c r="I170" i="1"/>
  <c r="H170" i="1"/>
  <c r="D170" i="1"/>
  <c r="I169" i="1"/>
  <c r="H169" i="1"/>
  <c r="D169" i="1"/>
  <c r="I168" i="1"/>
  <c r="H168" i="1"/>
  <c r="D168" i="1"/>
  <c r="I167" i="1"/>
  <c r="H167" i="1"/>
  <c r="D167" i="1"/>
  <c r="I166" i="1"/>
  <c r="H166" i="1"/>
  <c r="D166" i="1"/>
  <c r="I165" i="1"/>
  <c r="H165" i="1"/>
  <c r="D165" i="1"/>
  <c r="H164" i="1"/>
  <c r="I163" i="1"/>
  <c r="I162" i="1"/>
  <c r="H162" i="1"/>
  <c r="D162" i="1"/>
  <c r="I161" i="1"/>
  <c r="H161" i="1"/>
  <c r="D161" i="1"/>
  <c r="I160" i="1"/>
  <c r="H160" i="1"/>
  <c r="D160" i="1"/>
  <c r="I159" i="1"/>
  <c r="H159" i="1"/>
  <c r="D159" i="1"/>
  <c r="I158" i="1"/>
  <c r="H158" i="1"/>
  <c r="D158" i="1"/>
  <c r="I157" i="1"/>
  <c r="H157" i="1"/>
  <c r="D157" i="1"/>
  <c r="I156" i="1"/>
  <c r="H156" i="1"/>
  <c r="D156" i="1"/>
  <c r="I155" i="1"/>
  <c r="H155" i="1"/>
  <c r="D155" i="1"/>
  <c r="I154" i="1"/>
  <c r="H154" i="1"/>
  <c r="D154" i="1"/>
  <c r="I153" i="1"/>
  <c r="H153" i="1"/>
  <c r="D153" i="1"/>
  <c r="I152" i="1"/>
  <c r="H152" i="1"/>
  <c r="D152" i="1"/>
  <c r="I151" i="1"/>
  <c r="H151" i="1"/>
  <c r="D151" i="1"/>
  <c r="I150" i="1"/>
  <c r="H150" i="1"/>
  <c r="D150" i="1"/>
  <c r="I149" i="1"/>
  <c r="H149" i="1"/>
  <c r="D149" i="1"/>
  <c r="I148" i="1"/>
  <c r="H148" i="1"/>
  <c r="D148" i="1"/>
  <c r="I147" i="1"/>
  <c r="H147" i="1"/>
  <c r="D147" i="1"/>
  <c r="I146" i="1"/>
  <c r="H146" i="1"/>
  <c r="D146" i="1"/>
  <c r="I145" i="1"/>
  <c r="H145" i="1"/>
  <c r="D145" i="1"/>
  <c r="I144" i="1"/>
  <c r="H144" i="1"/>
  <c r="D144" i="1"/>
  <c r="I143" i="1"/>
  <c r="H143" i="1"/>
  <c r="D143" i="1"/>
  <c r="I142" i="1"/>
  <c r="H142" i="1"/>
  <c r="D142" i="1"/>
  <c r="I141" i="1"/>
  <c r="H141" i="1"/>
  <c r="D141" i="1"/>
  <c r="I140" i="1"/>
  <c r="H140" i="1"/>
  <c r="D140" i="1"/>
  <c r="I139" i="1"/>
  <c r="H139" i="1"/>
  <c r="D139" i="1"/>
  <c r="I138" i="1"/>
  <c r="H138" i="1"/>
  <c r="D138" i="1"/>
  <c r="I137" i="1"/>
  <c r="H137" i="1"/>
  <c r="D137" i="1"/>
  <c r="I136" i="1"/>
  <c r="H136" i="1"/>
  <c r="D136" i="1"/>
  <c r="I135" i="1"/>
  <c r="H135" i="1"/>
  <c r="D135" i="1"/>
  <c r="I134" i="1"/>
  <c r="H134" i="1"/>
  <c r="D134" i="1"/>
  <c r="I133" i="1"/>
  <c r="H133" i="1"/>
  <c r="D133" i="1"/>
  <c r="I132" i="1"/>
  <c r="H132" i="1"/>
  <c r="D132" i="1"/>
  <c r="I131" i="1"/>
  <c r="H131" i="1"/>
  <c r="D131" i="1"/>
  <c r="I130" i="1"/>
  <c r="H130" i="1"/>
  <c r="D130" i="1"/>
  <c r="I129" i="1"/>
  <c r="H129" i="1"/>
  <c r="D129" i="1"/>
  <c r="I128" i="1"/>
  <c r="H128" i="1"/>
  <c r="D128" i="1"/>
  <c r="I127" i="1"/>
  <c r="H127" i="1"/>
  <c r="D127" i="1"/>
  <c r="I126" i="1"/>
  <c r="H126" i="1"/>
  <c r="D126" i="1"/>
  <c r="I125" i="1"/>
  <c r="H125" i="1"/>
  <c r="D125" i="1"/>
  <c r="H124" i="1"/>
  <c r="D124" i="1"/>
  <c r="I123" i="1"/>
  <c r="H123" i="1"/>
  <c r="D123" i="1"/>
  <c r="I122" i="1"/>
  <c r="H122" i="1"/>
  <c r="D122" i="1"/>
  <c r="I121" i="1"/>
  <c r="H121" i="1"/>
  <c r="D121" i="1"/>
  <c r="I120" i="1"/>
  <c r="H120" i="1"/>
  <c r="D120" i="1"/>
  <c r="I119" i="1"/>
  <c r="H119" i="1"/>
  <c r="D119" i="1"/>
  <c r="I118" i="1"/>
  <c r="H118" i="1"/>
  <c r="D118" i="1"/>
  <c r="I117" i="1"/>
  <c r="H117" i="1"/>
  <c r="D117" i="1"/>
  <c r="I116" i="1"/>
  <c r="H116" i="1"/>
  <c r="D116" i="1"/>
  <c r="I115" i="1"/>
  <c r="H115" i="1"/>
  <c r="D115" i="1"/>
  <c r="I114" i="1"/>
  <c r="H114" i="1"/>
  <c r="D114" i="1"/>
  <c r="I113" i="1"/>
  <c r="H113" i="1"/>
  <c r="D113" i="1"/>
  <c r="I112" i="1"/>
  <c r="H112" i="1"/>
  <c r="D112" i="1"/>
  <c r="I111" i="1"/>
  <c r="H111" i="1"/>
  <c r="D111" i="1"/>
  <c r="I110" i="1"/>
  <c r="H110" i="1"/>
  <c r="D110" i="1"/>
  <c r="I109" i="1"/>
  <c r="H109" i="1"/>
  <c r="D109" i="1"/>
  <c r="I108" i="1"/>
  <c r="H108" i="1"/>
  <c r="D108" i="1"/>
  <c r="I107" i="1"/>
  <c r="H107" i="1"/>
  <c r="D107" i="1"/>
  <c r="I106" i="1"/>
  <c r="H106" i="1"/>
  <c r="D106" i="1"/>
  <c r="I105" i="1"/>
  <c r="H105" i="1"/>
  <c r="D105" i="1"/>
  <c r="I104" i="1"/>
  <c r="H104" i="1"/>
  <c r="D104" i="1"/>
  <c r="I103" i="1"/>
  <c r="H103" i="1"/>
  <c r="D103" i="1"/>
  <c r="I102" i="1"/>
  <c r="H102" i="1"/>
  <c r="D102" i="1"/>
  <c r="I101" i="1"/>
  <c r="H101" i="1"/>
  <c r="D101" i="1"/>
  <c r="I100" i="1"/>
  <c r="H100" i="1"/>
  <c r="D100" i="1"/>
  <c r="I99" i="1"/>
  <c r="H99" i="1"/>
  <c r="D99" i="1"/>
  <c r="I98" i="1"/>
  <c r="H98" i="1"/>
  <c r="D98" i="1"/>
  <c r="I97" i="1"/>
  <c r="H97" i="1"/>
  <c r="D97" i="1"/>
  <c r="I96" i="1"/>
  <c r="H96" i="1"/>
  <c r="D96" i="1"/>
  <c r="H95" i="1"/>
  <c r="I95" i="1" s="1"/>
  <c r="D95" i="1"/>
  <c r="H94" i="1"/>
  <c r="I94" i="1" s="1"/>
  <c r="D94" i="1"/>
  <c r="H93" i="1"/>
  <c r="I93" i="1" s="1"/>
  <c r="D93" i="1"/>
  <c r="H92" i="1"/>
  <c r="I90" i="1"/>
  <c r="H90" i="1"/>
  <c r="D90" i="1"/>
  <c r="I89" i="1"/>
  <c r="H89" i="1"/>
  <c r="D89" i="1"/>
  <c r="I88" i="1"/>
  <c r="H88" i="1"/>
  <c r="D88" i="1"/>
  <c r="I87" i="1"/>
  <c r="H87" i="1"/>
  <c r="D87" i="1"/>
  <c r="I86" i="1"/>
  <c r="H86" i="1"/>
  <c r="D86" i="1"/>
  <c r="I85" i="1"/>
  <c r="H85" i="1"/>
  <c r="D85" i="1"/>
  <c r="I84" i="1"/>
  <c r="H84" i="1"/>
  <c r="D84" i="1"/>
  <c r="I83" i="1"/>
  <c r="H83" i="1"/>
  <c r="D83" i="1"/>
  <c r="I82" i="1"/>
  <c r="H82" i="1"/>
  <c r="D82" i="1"/>
  <c r="I81" i="1"/>
  <c r="H81" i="1"/>
  <c r="D81" i="1"/>
  <c r="I80" i="1"/>
  <c r="H80" i="1"/>
  <c r="D80" i="1"/>
  <c r="I79" i="1"/>
  <c r="H79" i="1"/>
  <c r="D79" i="1"/>
  <c r="I78" i="1"/>
  <c r="H78" i="1"/>
  <c r="D78" i="1"/>
  <c r="I77" i="1"/>
  <c r="H77" i="1"/>
  <c r="D77" i="1"/>
  <c r="I76" i="1"/>
  <c r="H76" i="1"/>
  <c r="D76" i="1"/>
  <c r="I75" i="1"/>
  <c r="H75" i="1"/>
  <c r="D75" i="1"/>
  <c r="I72" i="1"/>
  <c r="H72" i="1"/>
  <c r="D72" i="1"/>
  <c r="I71" i="1"/>
  <c r="H71" i="1"/>
  <c r="D71" i="1"/>
  <c r="H70" i="1"/>
  <c r="I70" i="1" s="1"/>
  <c r="D70" i="1"/>
  <c r="H69" i="1"/>
  <c r="I69" i="1" s="1"/>
  <c r="D69" i="1"/>
  <c r="I68" i="1"/>
  <c r="H68" i="1"/>
  <c r="D68" i="1"/>
  <c r="H67" i="1"/>
  <c r="I67" i="1" s="1"/>
  <c r="D67" i="1"/>
  <c r="I66" i="1"/>
  <c r="H66" i="1"/>
  <c r="D66" i="1"/>
  <c r="H65" i="1"/>
  <c r="I65" i="1" s="1"/>
  <c r="D65" i="1"/>
  <c r="H64" i="1"/>
  <c r="I64" i="1" s="1"/>
  <c r="D64" i="1"/>
  <c r="H63" i="1"/>
  <c r="I63" i="1" s="1"/>
  <c r="D63" i="1"/>
  <c r="I62" i="1"/>
  <c r="H62" i="1"/>
  <c r="D62" i="1"/>
  <c r="I61" i="1"/>
  <c r="H61" i="1"/>
  <c r="D61" i="1"/>
  <c r="I60" i="1"/>
  <c r="H60" i="1"/>
  <c r="D60" i="1"/>
  <c r="I59" i="1"/>
  <c r="H59" i="1"/>
  <c r="D59" i="1"/>
  <c r="H58" i="1"/>
  <c r="I58" i="1" s="1"/>
  <c r="D58" i="1"/>
  <c r="I57" i="1"/>
  <c r="H57" i="1"/>
  <c r="D57" i="1"/>
  <c r="I56" i="1"/>
  <c r="H56" i="1"/>
  <c r="D56" i="1"/>
  <c r="I55" i="1"/>
  <c r="H55" i="1"/>
  <c r="D55" i="1"/>
  <c r="I54" i="1"/>
  <c r="H54" i="1"/>
  <c r="D54" i="1"/>
  <c r="H53" i="1"/>
  <c r="I53" i="1" s="1"/>
  <c r="D53" i="1"/>
  <c r="H52" i="1"/>
  <c r="I52" i="1" s="1"/>
  <c r="D52" i="1"/>
  <c r="I51" i="1"/>
  <c r="H51" i="1"/>
  <c r="D51" i="1"/>
  <c r="I50" i="1"/>
  <c r="H50" i="1"/>
  <c r="D50" i="1"/>
  <c r="I49" i="1"/>
  <c r="H49" i="1"/>
  <c r="D49" i="1"/>
  <c r="I46" i="1"/>
  <c r="H46" i="1"/>
  <c r="D46" i="1"/>
  <c r="H45" i="1"/>
  <c r="I45" i="1" s="1"/>
  <c r="D45" i="1"/>
  <c r="H44" i="1"/>
  <c r="I44" i="1" s="1"/>
  <c r="D44" i="1"/>
  <c r="H43" i="1"/>
  <c r="I43" i="1" s="1"/>
  <c r="D43" i="1"/>
  <c r="I42" i="1"/>
  <c r="H42" i="1"/>
  <c r="D42" i="1"/>
  <c r="I41" i="1"/>
  <c r="H41" i="1"/>
  <c r="D41" i="1"/>
  <c r="H40" i="1"/>
  <c r="I40" i="1" s="1"/>
  <c r="D40" i="1"/>
  <c r="H39" i="1"/>
  <c r="I39" i="1" s="1"/>
  <c r="D39" i="1"/>
  <c r="I38" i="1"/>
  <c r="H38" i="1"/>
  <c r="D38" i="1"/>
  <c r="I37" i="1"/>
  <c r="H37" i="1"/>
  <c r="D37" i="1"/>
  <c r="H36" i="1"/>
  <c r="I36" i="1" s="1"/>
  <c r="D36" i="1"/>
  <c r="I35" i="1"/>
  <c r="H35" i="1"/>
  <c r="D35" i="1"/>
  <c r="I34" i="1"/>
  <c r="H34" i="1"/>
  <c r="D34" i="1"/>
  <c r="H33" i="1"/>
  <c r="H31" i="1"/>
  <c r="I31" i="1" s="1"/>
  <c r="D31" i="1"/>
  <c r="I30" i="1"/>
  <c r="H30" i="1"/>
  <c r="D30" i="1"/>
  <c r="H29" i="1"/>
  <c r="I29" i="1" s="1"/>
  <c r="D29" i="1"/>
  <c r="I28" i="1"/>
  <c r="H28" i="1"/>
  <c r="D28" i="1"/>
  <c r="H27" i="1"/>
  <c r="I27" i="1" s="1"/>
  <c r="D27" i="1"/>
  <c r="I26" i="1"/>
  <c r="H26" i="1"/>
  <c r="D26" i="1"/>
  <c r="H25" i="1"/>
  <c r="I25" i="1" s="1"/>
  <c r="D25" i="1"/>
  <c r="I24" i="1"/>
  <c r="H24" i="1"/>
  <c r="D24" i="1"/>
  <c r="I23" i="1"/>
  <c r="H23" i="1"/>
  <c r="D23" i="1"/>
  <c r="I22" i="1"/>
  <c r="H22" i="1"/>
  <c r="D22" i="1"/>
  <c r="I21" i="1"/>
  <c r="H21" i="1"/>
  <c r="D21" i="1"/>
  <c r="I20" i="1"/>
  <c r="H20" i="1"/>
  <c r="D20" i="1"/>
  <c r="I19" i="1"/>
  <c r="H19" i="1"/>
  <c r="D19" i="1"/>
  <c r="I18" i="1"/>
  <c r="H18" i="1"/>
  <c r="D18" i="1"/>
  <c r="I17" i="1"/>
  <c r="H17" i="1"/>
  <c r="D17" i="1"/>
  <c r="I16" i="1"/>
  <c r="H16" i="1"/>
  <c r="D16" i="1"/>
  <c r="H15" i="1"/>
  <c r="I15" i="1" s="1"/>
  <c r="D15" i="1"/>
  <c r="I14" i="1"/>
  <c r="H14" i="1"/>
  <c r="D14" i="1"/>
  <c r="H13" i="1"/>
  <c r="I13" i="1" s="1"/>
  <c r="D13" i="1"/>
  <c r="I12" i="1"/>
  <c r="H12" i="1"/>
  <c r="D12" i="1"/>
  <c r="I11" i="1"/>
  <c r="H11" i="1"/>
  <c r="D11" i="1"/>
  <c r="H10" i="1"/>
  <c r="I10" i="1" s="1"/>
  <c r="D10" i="1"/>
  <c r="H9" i="1"/>
  <c r="I9" i="1" s="1"/>
  <c r="D9" i="1"/>
  <c r="I8" i="1"/>
  <c r="H8" i="1"/>
  <c r="D8" i="1"/>
  <c r="H7" i="1"/>
  <c r="I7" i="1" s="1"/>
  <c r="D7" i="1"/>
  <c r="C232" i="1" l="1"/>
  <c r="F2" i="1" s="1"/>
</calcChain>
</file>

<file path=xl/sharedStrings.xml><?xml version="1.0" encoding="utf-8"?>
<sst xmlns="http://schemas.openxmlformats.org/spreadsheetml/2006/main" count="233" uniqueCount="232">
  <si>
    <t>Contagem de Estoque</t>
  </si>
  <si>
    <t>CONTAGEM</t>
  </si>
  <si>
    <t>TOTAL</t>
  </si>
  <si>
    <t>CÓDIGO</t>
  </si>
  <si>
    <t>DESCRIÇÃO</t>
  </si>
  <si>
    <t>CONTAGEM MENSAL</t>
  </si>
  <si>
    <t>QTD</t>
  </si>
  <si>
    <t>VL. CAIXA</t>
  </si>
  <si>
    <t>VL. UNIT.</t>
  </si>
  <si>
    <t>CAIXA</t>
  </si>
  <si>
    <t>PC / FD</t>
  </si>
  <si>
    <t>KG / UND</t>
  </si>
  <si>
    <t>CONGELADOS</t>
  </si>
  <si>
    <t>BACON BK ASS CUBOS CX 2X1KG</t>
  </si>
  <si>
    <t>BACON PRONTO ASSADO CONG TIRAS BK CX 4 KG</t>
  </si>
  <si>
    <t>BATATA CONG PRE FRITA BK 9MM CX 12,5KG MCCAIN NV</t>
  </si>
  <si>
    <t>BROWNIE BRIGADEIRO BK CX 24X50 G</t>
  </si>
  <si>
    <t>BROWNIE PICADO SEM NOZES BK 1KG C/4</t>
  </si>
  <si>
    <t>CARNE CONG MOIDA WHOPPER BK CX 17,2KG</t>
  </si>
  <si>
    <t>CARNE ESPECIAL GOURMET CX18,408KG 156UND</t>
  </si>
  <si>
    <t>CARNE HB CONG BKC CX COM 18,7 KG</t>
  </si>
  <si>
    <t>CHICKEN JR CLEAN BK CX 9,88KG</t>
  </si>
  <si>
    <t>CHICKEN NUGGETS CLEAN BK CX 12 KG</t>
  </si>
  <si>
    <t>HAMBURGUER REBEL SABOR PICANHA CX 12KG</t>
  </si>
  <si>
    <t>MARMITA CONG CARNE DE PANELA CX 15X450G</t>
  </si>
  <si>
    <t>MARMITA CONG CARNE MOIDA CX 15X400G</t>
  </si>
  <si>
    <t>MARMITA CONG COXA DESOSSADA C/CREME DE MILHO CX 15X400G</t>
  </si>
  <si>
    <t>MARMITA CONG ESTROGONOFF DE FRANGO CX 15X400G</t>
  </si>
  <si>
    <t>MARMITA CONG FEIJOADA CX 15X450G</t>
  </si>
  <si>
    <t>MARMITA CONG FRANGO DESFIADO CX 15X400G</t>
  </si>
  <si>
    <t>MARMITA CONG PORKS BARBECUE CX 15X400G</t>
  </si>
  <si>
    <t>ONION RINGS FNT BRASIL BK CX 11KG 10X1.1 K</t>
  </si>
  <si>
    <t>PAO BK 4 CONG CXG 14900G UNB</t>
  </si>
  <si>
    <t>PAO BK 5 CL CXG CONG 10500G UNB</t>
  </si>
  <si>
    <t>PAO BK SUPREMO CLEAN LABEL CX COM 180 UND</t>
  </si>
  <si>
    <t>PAO BRIOCHE BK CX 192 UND</t>
  </si>
  <si>
    <t>PAO BRIOCHE BK CX 270 UND</t>
  </si>
  <si>
    <t>TENDER CRISPY FILE NOVO BK CX 4X2,5 KG</t>
  </si>
  <si>
    <t>RESFRIADOS</t>
  </si>
  <si>
    <t>AGUA GASEIFICADA H2OH LIMAO BK FD 12 X 500ML</t>
  </si>
  <si>
    <t>AGUA MINERAL BURGER KING CX 48 UN</t>
  </si>
  <si>
    <t>ALFACE AMERICANA  NATURAL BK-REFRICON CX12KG</t>
  </si>
  <si>
    <t>BEBIDA LACTEA DOCE DE LEITE UHT BK CX10X2UN</t>
  </si>
  <si>
    <t>BEBIDA LACTEA UHT BAUNILHA BK 10 L X 2 UN</t>
  </si>
  <si>
    <t>CEBOLA BRANCA ESTADO NATURAL BK REFRICON CX 6KG</t>
  </si>
  <si>
    <t>MOLHO SABOR QUEIJO CHEDDAR BK CX 8X2KG</t>
  </si>
  <si>
    <t>QUEIJO CHEDDAR CLEAN BK DAN VIGOR CX 8X2,208 KG</t>
  </si>
  <si>
    <t>SUCO DE MARACUJA COM MACA BK FD C/ 12X300ML</t>
  </si>
  <si>
    <t>SUCO LARANJA 12X300 ML BK</t>
  </si>
  <si>
    <t>SUCO UVA MACA 12X300ML PPY/BK</t>
  </si>
  <si>
    <t>SUCO UVA MACA 6X180 ML PPY/BK</t>
  </si>
  <si>
    <t>TOMATE CARMEM ESTADO NATURAL BK REFRICON 7K</t>
  </si>
  <si>
    <t>MOLHOS E CONDIMENTOS</t>
  </si>
  <si>
    <t>BACONESE BK CX 5X1,1KG</t>
  </si>
  <si>
    <t xml:space="preserve">CARNE FRANDINHA DESFIADA </t>
  </si>
  <si>
    <t>CEBOLA FRITA CRISPY BENASSI 10X500 GR</t>
  </si>
  <si>
    <t>COSTELA DESFIADA CX 24X300GR</t>
  </si>
  <si>
    <t>KETCHUP A GRANEL BK HEINZ CX 8X2KG</t>
  </si>
  <si>
    <t>MAIONESE GRANEL BK CLEAN CX 6X3KG</t>
  </si>
  <si>
    <t>MAIONESE SACHET SABOR BACON CX C/304 UND</t>
  </si>
  <si>
    <t>MAIONESE VERDE BK CX 5X1,1KG</t>
  </si>
  <si>
    <t>MAIONESE VERDE SACHET CX COM 304 UND</t>
  </si>
  <si>
    <t>MOLHO BARBECUE BAG MP BK CX COM 5,5 KG</t>
  </si>
  <si>
    <t>MOLHO BARBECUE BLISTER BK MP CX COM 144 UND 28G</t>
  </si>
  <si>
    <t>MOLHO CEBOLA ROXA BK CX 12X500G</t>
  </si>
  <si>
    <t>MOLHO FURIOSO BK NCM CX 144 BLISTER 28G UND</t>
  </si>
  <si>
    <t>MOLHO FURIOSO NCM BK 5.5KG CLEAN</t>
  </si>
  <si>
    <t>MOLHO STACKER BAG CL BK CX5X1,1KG</t>
  </si>
  <si>
    <t>MOSTARDA HEINZ BK BAG 8X2KG</t>
  </si>
  <si>
    <t>MOSTARDA HEINZ BK SACHE 2304 5G</t>
  </si>
  <si>
    <t>OLEO ESPECIAL SUPREMA BK CX 18KG</t>
  </si>
  <si>
    <t>PEPINO FATIADO DRENAD BK CX6X2,300KG</t>
  </si>
  <si>
    <t>PIMENTA JALAPENO CLEAN LABEL BK FATIADO</t>
  </si>
  <si>
    <t>SACHE KETCHUP BK HEINZ CX 1500X7GR</t>
  </si>
  <si>
    <t>SACHET MAIONESE CLEAN BK CX 600UND</t>
  </si>
  <si>
    <t>SAL BK FD 10KG</t>
  </si>
  <si>
    <t>SAL REFINADO SACHE BK CX0,8X2500UN NOVO</t>
  </si>
  <si>
    <t>SOBREMESA</t>
  </si>
  <si>
    <t>BIS XTRA AO LEITE CX 4X24 UNI</t>
  </si>
  <si>
    <t>BISCOITO BIDCOFF CX300 UM</t>
  </si>
  <si>
    <t>BOMBOM PRESTIGIO CX 30X114G</t>
  </si>
  <si>
    <t>CALDA DE PISTACHE BK CX2X4KG</t>
  </si>
  <si>
    <t>CALDA MORANGO 6X1,25 CX C/7,5 KG</t>
  </si>
  <si>
    <t>CASQUINHA SORVETE BK CX 300UN</t>
  </si>
  <si>
    <t>COBERTURA CHOCO BK CX 9X1,05 KG CLEAN LABEL</t>
  </si>
  <si>
    <t>CRUMBLE BISCOFF  CX6X1KG</t>
  </si>
  <si>
    <t>CRUMBLE COOKIES GRANULADO BAU CX5X1KG</t>
  </si>
  <si>
    <t>DOCE DE LEITE BK BISNAGA 1.5KG ELEGE CX4BG</t>
  </si>
  <si>
    <t>LEITE EM PO NINHO 6,9 KG - 12 X 0,575GR</t>
  </si>
  <si>
    <t>MISTURA MILK SHAKE BAU BK DOHLER CX 13,16</t>
  </si>
  <si>
    <t>NUTELLA BK CX C/2X3KG</t>
  </si>
  <si>
    <t>OVOMALTINE BK AB CX 9KG - 12 X 750GR</t>
  </si>
  <si>
    <t>PROTEINA SORO DE LEITE  9,6</t>
  </si>
  <si>
    <t>RECHEIO DE OVOMALTINE BK CX COM 6X4 KG</t>
  </si>
  <si>
    <t>EMBALAGENS E ESTOCAVEIS</t>
  </si>
  <si>
    <t>BALDE PAPEL 900 ML BK CD CX COM 500 UND</t>
  </si>
  <si>
    <t>BOBINA DSS BIXOLON CX 20</t>
  </si>
  <si>
    <t>BOBINA TERMICA 79X40 PALHA ATOCOTEPE BK C/ 30UN</t>
  </si>
  <si>
    <t>CANUDO PAPEL MILKSHAKE JUMBO BK CX 1000UND</t>
  </si>
  <si>
    <t>CANUDO PAPEL REFRIGERANTE BK CX 3000UND</t>
  </si>
  <si>
    <t>CARTONAGEM BATATA GRANDE BK CX 1600 UND</t>
  </si>
  <si>
    <t>CARTONAGEM BATATA MEDIA NOVA BK CX 1600 UND</t>
  </si>
  <si>
    <t>COLHER SORVETE PREMIUM BK CX 1000UND</t>
  </si>
  <si>
    <t>COPO BK 550ML CX1200UN CB</t>
  </si>
  <si>
    <t>COPO CORTESIA BIO 200ML BK CX 2000 UND</t>
  </si>
  <si>
    <t>COPO MIX INSTITUCIONAL 290ML BK BO PACK CX 320UN</t>
  </si>
  <si>
    <t>COPO MIX INSTITUCIONAL 290ML STAR WARS  CX 320UN</t>
  </si>
  <si>
    <t>COPO REFRIG.PP BK 440ML  STAR WARS CX 900 UND</t>
  </si>
  <si>
    <t>COPO REFRIG.PP BK 440ML CX 900 UND</t>
  </si>
  <si>
    <t>COPO SHAKE 440ML BIO BK CX 900UN</t>
  </si>
  <si>
    <t>COPO SHAKE 440ML PLASTICO BK CX 900UN</t>
  </si>
  <si>
    <t>COPO SUNDAE BK BLISTER 200ML CX 1000UN</t>
  </si>
  <si>
    <t>COROA BK LGBT CX 500 UND</t>
  </si>
  <si>
    <t>COROA BURGUER KING CX 500 UND</t>
  </si>
  <si>
    <t>ETIQ LACRE DE SEGURANCA BKC 79,94X39,93MM</t>
  </si>
  <si>
    <t>ETIQUETA (DOMINGO) ROLO 1000 UN</t>
  </si>
  <si>
    <t>ETIQUETA (QUARTA) ROLO 1000 UN</t>
  </si>
  <si>
    <t>ETIQUETA (QUINTA) ROLO 1000 UN</t>
  </si>
  <si>
    <t>ETIQUETA (SABADO) ROLO 1000 UN</t>
  </si>
  <si>
    <t>ETIQUETA (SEGUNDA) ROLO 1000 UM</t>
  </si>
  <si>
    <t>ETIQUETA (SEXTA) ROLO 1000 UN</t>
  </si>
  <si>
    <t>ETIQUETA (TERCA) ROLO 1000 UM</t>
  </si>
  <si>
    <t>FILME PELICULA PVC 1000MT 40CM WIDE</t>
  </si>
  <si>
    <t>FILTRO P/ FRITADEIRA COM P CX 30UN</t>
  </si>
  <si>
    <t>FILTRO P/ FRITADEIRA PITCO 30UND</t>
  </si>
  <si>
    <t>FUNDO BANDEJA INSTITUCIONAL BK CX 2000 UND</t>
  </si>
  <si>
    <t>FUNDO DE BANDEJA STAR WARS CX 2000</t>
  </si>
  <si>
    <t>FUNDO DE BATATA SUP GD BK INNOVAPACK CX 350 UND</t>
  </si>
  <si>
    <t>FUNDO DE BATATA SUP MD BK INNOVAPACK CX 600 UND</t>
  </si>
  <si>
    <t>GARFO SOBREMESA CX 1000 UND</t>
  </si>
  <si>
    <t>GUARDANAPO EMBALADO BK 20X30 CX 2400 UND</t>
  </si>
  <si>
    <t>GUARDANAPO INTERFOLHADO BK CX 5400 UM</t>
  </si>
  <si>
    <t>GUARDANAPO SORVETE BK 20 X 20 CX 5000 UND</t>
  </si>
  <si>
    <t>KIT GARFO/FACA EMBALADOS</t>
  </si>
  <si>
    <t>LAMINA BIG KING BK RIACHO PCT 3000 UND</t>
  </si>
  <si>
    <t>LAMINA CHICKEN WHOPPER BK RIACHO PCT 3000 UND</t>
  </si>
  <si>
    <t>LAMINA KING OFERTAS BK TRENIER PCT 3000 UND</t>
  </si>
  <si>
    <t>LAMINA REBEL WHOPPER MAR. BK RIACHO PCT 3000 UND</t>
  </si>
  <si>
    <t>LAMINA STACKER BK RIACHO PCT 3000 UND</t>
  </si>
  <si>
    <t>LAMINA WHOPPER BK RIACHO PCT 3000 UND</t>
  </si>
  <si>
    <t>LAMINA WHOPPER JR BK RIACHO PCT 3000 UND</t>
  </si>
  <si>
    <t>LAPIS CERA CX 12 UNIDADES</t>
  </si>
  <si>
    <t>LUVA PLASTICA DESC TAM UNICO C/50</t>
  </si>
  <si>
    <t>LUVA TRANSP. DE POLIETILENO BK TAM EG 100UN IMP</t>
  </si>
  <si>
    <t>LUVA TRANSP. DE POLIETILENO BK TAM UNIC 100UN IMP</t>
  </si>
  <si>
    <t>NOVA CARTONAGEM FRITOS DELIVERY BK CX 500UN</t>
  </si>
  <si>
    <t>PAZINHA SORVETE BK CX 3000UN BRANCA</t>
  </si>
  <si>
    <t>PETROGEL FILM PLUS 4 OZ</t>
  </si>
  <si>
    <t>PORTA COPOS P/ 2 COPOS BK 550 ML CX C/ 370 UND</t>
  </si>
  <si>
    <t>REDINHA PARA CABELO BLACK BK PCT COM 5 UND</t>
  </si>
  <si>
    <t>REDINHA PARA CABELO PRETA BK PCT C/ 100UN</t>
  </si>
  <si>
    <t>SACO BK CHICKEN C.C PCT 1000UNDS</t>
  </si>
  <si>
    <t>SACO BK DELIVERY PCT 100 UND</t>
  </si>
  <si>
    <t xml:space="preserve">SACO DE KING JR PCT 1000 UND </t>
  </si>
  <si>
    <t>SACO KING JR BK PCT 1000 UND</t>
  </si>
  <si>
    <t>SACO VIAGEM 12 LIBRAS BK-CC PCT 1000 UNDS</t>
  </si>
  <si>
    <t>SACO VIAGEM 6 LIBRAS BK-CC PCT 1000 UNDS</t>
  </si>
  <si>
    <t>SACOLA P/ VIAGEM BK-CC PCT 500 UNDS</t>
  </si>
  <si>
    <t>SAQUINHO DE BATATA BK 22X11FD 6000UND</t>
  </si>
  <si>
    <t>TAMPA BALDE BK 900ML CX 1000UN</t>
  </si>
  <si>
    <t>TAMPA BATATA SUPREMA GRANDE CX 350 UND</t>
  </si>
  <si>
    <t>TAMPA BATATA SUPREMA MEDIA CX 350 UND</t>
  </si>
  <si>
    <t>TAMPA REFRIGERANTE 440ML NAC BK CX 1800UND</t>
  </si>
  <si>
    <t>TAMPA SHAKE BK 440 ML CX COM 900 UND</t>
  </si>
  <si>
    <t>TAMPA SUNDAE BK CX C/1200 UND</t>
  </si>
  <si>
    <t>LIMPEZA</t>
  </si>
  <si>
    <t>PAPEL HIGIENICO BK CX 8X500M</t>
  </si>
  <si>
    <t>PAPEL HIGIENICO INTERFOLHADO CX 48X250 F</t>
  </si>
  <si>
    <t>PAPEL TOALHA BK CX 6X200M</t>
  </si>
  <si>
    <t>PAPEL TOALHA INTERFOLHADA 24X350</t>
  </si>
  <si>
    <t>SACO P/ LIXO 40LT REFORCADO PCT 100 UND</t>
  </si>
  <si>
    <t>SACO P LIXO 100LT BL4 PCT 100 UND</t>
  </si>
  <si>
    <t>SACO P LIXO 200LT BL4 PCT 100 UND</t>
  </si>
  <si>
    <t>DETERGENTE BK CLEANX GL 5 KG</t>
  </si>
  <si>
    <t>LUVA P/ LIXO CANO LONGO PCT 100 UND</t>
  </si>
  <si>
    <t>PANO MULTIUSO IMP VERMELHO C/120</t>
  </si>
  <si>
    <t>PANO MULTIUSO IMP AZUL C/120</t>
  </si>
  <si>
    <t>PANO MULTIUSO IMP LARANJA C/120</t>
  </si>
  <si>
    <t>PANO MULTIUSO IMP VERDE C/120</t>
  </si>
  <si>
    <t>PANO MULTIUSO BRANCO</t>
  </si>
  <si>
    <t>REFRIGERANTES BEG - LATAS - CO2</t>
  </si>
  <si>
    <t>CHA LIPTON PESSEGO BAG ZERO ACUCAR BK CX 18,9L</t>
  </si>
  <si>
    <t>PEPSI COLA BAG 18 LT</t>
  </si>
  <si>
    <t xml:space="preserve">PEPSI ZERO BAG 18 LT </t>
  </si>
  <si>
    <t xml:space="preserve">PEPSI TWIST BAG 18 LT </t>
  </si>
  <si>
    <t>GUARANA ANTARTICA BAG 18 LT</t>
  </si>
  <si>
    <t>GUARANA ANTARTICA DIET BAG 18 LT</t>
  </si>
  <si>
    <t>SODA LIMONADA BAG 18 LT</t>
  </si>
  <si>
    <t>SUKITA BAG 18 LT</t>
  </si>
  <si>
    <t xml:space="preserve">GUARANA  LATA 350 ML 12 UND </t>
  </si>
  <si>
    <t xml:space="preserve">GUARANA DIET LATA 350 ML 12 UND </t>
  </si>
  <si>
    <t xml:space="preserve">PEPSI LATA 350 ML12 UND  </t>
  </si>
  <si>
    <t>PEPSI DIET LATA 350 ML 12 UND</t>
  </si>
  <si>
    <t>DIOXIDO CARBONO CIL K 25KG</t>
  </si>
  <si>
    <t>BRINDES</t>
  </si>
  <si>
    <t xml:space="preserve">BRINDE DIVERSOS  </t>
  </si>
  <si>
    <t xml:space="preserve">BRINDE SONIC  </t>
  </si>
  <si>
    <t xml:space="preserve">BRIND CARTON </t>
  </si>
  <si>
    <t xml:space="preserve">BRINDE MEIA DEADPOL  </t>
  </si>
  <si>
    <t>BRINDE WARNER 100 ANOS CX MIX 8 MOD COM 104 UNID</t>
  </si>
  <si>
    <t>BRINDE BK OVO DINO CX COM 40 UND</t>
  </si>
  <si>
    <t>BRINDE SMORF</t>
  </si>
  <si>
    <t>BRINDE MIX JOGO DE CARTAS UNO DESAFIO BK</t>
  </si>
  <si>
    <t xml:space="preserve">BRIND NARUTO MIX CX 104 UND </t>
  </si>
  <si>
    <t xml:space="preserve">BRIND BOB ESPONJA NARU CX 200 UND </t>
  </si>
  <si>
    <t xml:space="preserve">BRIND TARTARUGA NINJA CX 100 UND </t>
  </si>
  <si>
    <t>LANÇAMENTO</t>
  </si>
  <si>
    <t>MOLHO TERYAKI CX 5X1 1KG</t>
  </si>
  <si>
    <t>CARNE FRANDINHA DEFUMADA 4/1</t>
  </si>
  <si>
    <t>BISCOITO AZUL GRANULADO</t>
  </si>
  <si>
    <t xml:space="preserve">CALDA DE PISTACHE BK Balde  1x4 kilos </t>
  </si>
  <si>
    <t>CAIXA COMBO ADULTO  CX 160 UM</t>
  </si>
  <si>
    <t>CAIXA THE KINGS CX 375 UM</t>
  </si>
  <si>
    <t xml:space="preserve">FUNDO DE BANDEIJA CX 600 UND </t>
  </si>
  <si>
    <t>LAMINA WHOPPER NARUTO CX 500 UND</t>
  </si>
  <si>
    <t>COROA BK STAR CX 500 UND</t>
  </si>
  <si>
    <t>COROA BK NARUTO CX 500 UND</t>
  </si>
  <si>
    <t>CARTONAGEM BATATA DLV NARUTO CX 500 UND</t>
  </si>
  <si>
    <t>MOLHO SABOR DEFUMADO CX 5X1,1KG</t>
  </si>
  <si>
    <t>LEITE EM PO NINHO CX 12X0,575 KG</t>
  </si>
  <si>
    <t>FAROFA CRUMB CX10X500</t>
  </si>
  <si>
    <t>KIT DE MANUTENÇAO ORINGS 8754BK</t>
  </si>
  <si>
    <t xml:space="preserve">KIT MEDIDOR DE OLEO </t>
  </si>
  <si>
    <t>KIT TEFLON TOASTER BK CX 5 UN</t>
  </si>
  <si>
    <t>KIT DE ESCOVA BKC</t>
  </si>
  <si>
    <t>TEFLON TOASTER PRINCE CASTLE BK CX 5 UN</t>
  </si>
  <si>
    <t>ZIPCLIPS FECHA SACO BK CX 40 UM</t>
  </si>
  <si>
    <t>BANDEJA PRETA BK C/ 50 UND</t>
  </si>
  <si>
    <t>MANTA SUPERIOR DE TEFLON CX  1UND</t>
  </si>
  <si>
    <t>MANTA SUPERIOR DE TEFLON INFERIOR CX03</t>
  </si>
  <si>
    <t>CESTO PARA PAO PRETO UM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</si>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</sst>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.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0"/>
      <color theme="0"/>
      <name val="Times New Roman"/>
      <charset val="134"/>
    </font>
    <font>
      <sz val="10"/>
      <color theme="0"/>
      <name val="Times New Roman"/>
      <charset val="134"/>
    </font>
    <font>
      <b/>
      <sz val="8"/>
      <color theme="0"/>
      <name val="Times New Roman"/>
      <charset val="134"/>
    </font>
    <font>
      <b/>
      <sz val="6"/>
      <color theme="0"/>
      <name val="Times New Roman"/>
      <charset val="134"/>
    </font>
    <font>
      <sz val="8"/>
      <color theme="0"/>
      <name val="Times New Roman"/>
      <charset val="134"/>
    </font>
    <font>
      <b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sz val="10"/>
      <color theme="1"/>
      <name val="Times New Roman"/>
      <charset val="134"/>
    </font>
    <font>
      <sz val="8"/>
      <color theme="1"/>
      <name val="Times New Roman"/>
      <charset val="134"/>
    </font>
    <font>
      <b/>
      <sz val="9"/>
      <color theme="0"/>
      <name val="Times New Roman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b/>
      <sz val="20"/>
      <color theme="0"/>
      <name val="Calibri"/>
      <charset val="134"/>
      <scheme val="minor"/>
    </font>
    <font>
      <b/>
      <sz val="26"/>
      <color theme="0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5" fontId="0" fillId="2" borderId="0" xfId="0" applyNumberFormat="1" applyFill="1" applyProtection="1"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8" fillId="4" borderId="12" xfId="0" applyFont="1" applyFill="1" applyBorder="1" applyAlignment="1" applyProtection="1">
      <alignment horizontal="center" vertical="center"/>
      <protection locked="0"/>
    </xf>
    <xf numFmtId="1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1" fontId="8" fillId="4" borderId="12" xfId="0" applyNumberFormat="1" applyFont="1" applyFill="1" applyBorder="1" applyAlignment="1" applyProtection="1">
      <alignment horizontal="center" vertical="center"/>
      <protection locked="0"/>
    </xf>
    <xf numFmtId="164" fontId="8" fillId="4" borderId="12" xfId="0" applyNumberFormat="1" applyFont="1" applyFill="1" applyBorder="1" applyAlignment="1" applyProtection="1">
      <alignment horizontal="center" vertical="center"/>
      <protection locked="0"/>
    </xf>
    <xf numFmtId="0" fontId="7" fillId="4" borderId="12" xfId="0" applyFont="1" applyFill="1" applyBorder="1" applyAlignment="1" applyProtection="1">
      <alignment horizontal="center" vertical="center"/>
      <protection locked="0"/>
    </xf>
    <xf numFmtId="0" fontId="5" fillId="6" borderId="12" xfId="0" applyFont="1" applyFill="1" applyBorder="1" applyAlignment="1" applyProtection="1">
      <alignment horizontal="center"/>
      <protection locked="0"/>
    </xf>
    <xf numFmtId="0" fontId="9" fillId="4" borderId="12" xfId="0" applyFont="1" applyFill="1" applyBorder="1" applyAlignment="1" applyProtection="1">
      <alignment horizontal="center" vertical="center"/>
      <protection locked="0"/>
    </xf>
    <xf numFmtId="0" fontId="10" fillId="4" borderId="12" xfId="0" applyFont="1" applyFill="1" applyBorder="1" applyAlignment="1" applyProtection="1">
      <alignment horizontal="center" vertical="center"/>
      <protection locked="0"/>
    </xf>
    <xf numFmtId="1" fontId="10" fillId="4" borderId="12" xfId="0" applyNumberFormat="1" applyFont="1" applyFill="1" applyBorder="1" applyAlignment="1" applyProtection="1">
      <alignment horizontal="center" vertical="center" wrapText="1"/>
      <protection locked="0"/>
    </xf>
    <xf numFmtId="1" fontId="10" fillId="4" borderId="12" xfId="0" applyNumberFormat="1" applyFont="1" applyFill="1" applyBorder="1" applyAlignment="1" applyProtection="1">
      <alignment horizontal="center" vertical="center"/>
      <protection locked="0"/>
    </xf>
    <xf numFmtId="164" fontId="10" fillId="4" borderId="12" xfId="0" applyNumberFormat="1" applyFont="1" applyFill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left"/>
      <protection locked="0"/>
    </xf>
    <xf numFmtId="0" fontId="11" fillId="0" borderId="12" xfId="0" applyFont="1" applyBorder="1" applyProtection="1">
      <protection locked="0"/>
    </xf>
    <xf numFmtId="0" fontId="10" fillId="4" borderId="12" xfId="0" applyFont="1" applyFill="1" applyBorder="1" applyProtection="1">
      <protection locked="0"/>
    </xf>
    <xf numFmtId="2" fontId="10" fillId="4" borderId="12" xfId="0" applyNumberFormat="1" applyFont="1" applyFill="1" applyBorder="1"/>
    <xf numFmtId="0" fontId="10" fillId="0" borderId="12" xfId="0" applyFont="1" applyBorder="1" applyAlignment="1" applyProtection="1">
      <alignment horizontal="center"/>
      <protection locked="0"/>
    </xf>
    <xf numFmtId="0" fontId="10" fillId="2" borderId="12" xfId="0" applyFont="1" applyFill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2" fillId="0" borderId="12" xfId="0" applyFont="1" applyBorder="1" applyAlignment="1" applyProtection="1">
      <alignment horizontal="center"/>
      <protection locked="0"/>
    </xf>
    <xf numFmtId="0" fontId="12" fillId="2" borderId="12" xfId="0" applyFont="1" applyFill="1" applyBorder="1" applyAlignment="1" applyProtection="1">
      <alignment horizontal="center"/>
      <protection locked="0"/>
    </xf>
    <xf numFmtId="0" fontId="12" fillId="0" borderId="12" xfId="0" applyFont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12" fillId="7" borderId="12" xfId="0" applyFont="1" applyFill="1" applyBorder="1" applyAlignment="1" applyProtection="1">
      <alignment horizontal="center"/>
      <protection locked="0"/>
    </xf>
    <xf numFmtId="0" fontId="13" fillId="0" borderId="12" xfId="0" applyFont="1" applyBorder="1" applyProtection="1">
      <protection locked="0"/>
    </xf>
    <xf numFmtId="0" fontId="12" fillId="4" borderId="12" xfId="0" applyFont="1" applyFill="1" applyBorder="1" applyProtection="1">
      <protection locked="0"/>
    </xf>
    <xf numFmtId="2" fontId="12" fillId="4" borderId="12" xfId="0" applyNumberFormat="1" applyFont="1" applyFill="1" applyBorder="1"/>
    <xf numFmtId="0" fontId="1" fillId="4" borderId="12" xfId="0" applyFont="1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5" fillId="4" borderId="13" xfId="0" applyFont="1" applyFill="1" applyBorder="1" applyAlignment="1" applyProtection="1">
      <alignment horizontal="center" vertical="center"/>
      <protection locked="0"/>
    </xf>
    <xf numFmtId="0" fontId="5" fillId="4" borderId="14" xfId="0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 applyProtection="1">
      <alignment horizontal="center"/>
      <protection locked="0"/>
    </xf>
    <xf numFmtId="164" fontId="5" fillId="4" borderId="14" xfId="0" applyNumberFormat="1" applyFont="1" applyFill="1" applyBorder="1" applyAlignment="1" applyProtection="1">
      <alignment horizontal="center" vertical="center"/>
      <protection locked="0"/>
    </xf>
    <xf numFmtId="0" fontId="10" fillId="4" borderId="12" xfId="0" applyFont="1" applyFill="1" applyBorder="1" applyAlignment="1" applyProtection="1">
      <alignment horizontal="center"/>
      <protection locked="0"/>
    </xf>
    <xf numFmtId="0" fontId="15" fillId="4" borderId="12" xfId="0" applyFont="1" applyFill="1" applyBorder="1" applyAlignment="1" applyProtection="1">
      <alignment horizontal="center" vertical="center" wrapText="1"/>
      <protection locked="0"/>
    </xf>
    <xf numFmtId="165" fontId="15" fillId="4" borderId="12" xfId="0" applyNumberFormat="1" applyFont="1" applyFill="1" applyBorder="1" applyAlignment="1">
      <alignment horizontal="center"/>
    </xf>
    <xf numFmtId="165" fontId="16" fillId="4" borderId="12" xfId="0" applyNumberFormat="1" applyFont="1" applyFill="1" applyBorder="1" applyAlignment="1">
      <alignment horizontal="center"/>
    </xf>
    <xf numFmtId="164" fontId="5" fillId="2" borderId="12" xfId="0" applyNumberFormat="1" applyFont="1" applyFill="1" applyBorder="1" applyAlignment="1" applyProtection="1">
      <alignment horizontal="center" vertical="center"/>
      <protection locked="0"/>
    </xf>
    <xf numFmtId="0" fontId="10" fillId="0" borderId="14" xfId="0" applyFont="1" applyBorder="1" applyAlignment="1">
      <alignment horizontal="center"/>
    </xf>
    <xf numFmtId="1" fontId="5" fillId="4" borderId="14" xfId="0" applyNumberFormat="1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>
      <alignment horizontal="center"/>
    </xf>
    <xf numFmtId="164" fontId="10" fillId="2" borderId="12" xfId="0" applyNumberFormat="1" applyFont="1" applyFill="1" applyBorder="1" applyAlignment="1" applyProtection="1">
      <alignment horizontal="center" vertical="center"/>
      <protection locked="0"/>
    </xf>
    <xf numFmtId="0" fontId="10" fillId="4" borderId="12" xfId="0" applyFont="1" applyFill="1" applyBorder="1" applyAlignment="1">
      <alignment horizontal="center"/>
    </xf>
    <xf numFmtId="0" fontId="11" fillId="0" borderId="0" xfId="0" applyFont="1"/>
    <xf numFmtId="0" fontId="10" fillId="2" borderId="14" xfId="0" applyFont="1" applyFill="1" applyBorder="1" applyAlignment="1" applyProtection="1">
      <alignment horizontal="center" vertical="center"/>
      <protection locked="0"/>
    </xf>
    <xf numFmtId="4" fontId="12" fillId="4" borderId="12" xfId="0" applyNumberFormat="1" applyFont="1" applyFill="1" applyBorder="1" applyProtection="1"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7" fillId="4" borderId="12" xfId="0" applyFont="1" applyFill="1" applyBorder="1" applyAlignment="1" applyProtection="1">
      <alignment horizontal="center" wrapText="1"/>
      <protection locked="0"/>
    </xf>
    <xf numFmtId="0" fontId="5" fillId="5" borderId="12" xfId="0" applyFont="1" applyFill="1" applyBorder="1" applyAlignment="1" applyProtection="1">
      <alignment horizontal="center"/>
      <protection locked="0"/>
    </xf>
    <xf numFmtId="0" fontId="6" fillId="4" borderId="12" xfId="0" applyFont="1" applyFill="1" applyBorder="1" applyAlignment="1" applyProtection="1">
      <alignment horizontal="center" vertical="center"/>
      <protection locked="0"/>
    </xf>
    <xf numFmtId="0" fontId="7" fillId="4" borderId="12" xfId="0" applyFont="1" applyFill="1" applyBorder="1" applyAlignment="1" applyProtection="1">
      <alignment horizontal="center" vertical="center" wrapText="1"/>
      <protection locked="0"/>
    </xf>
    <xf numFmtId="0" fontId="7" fillId="4" borderId="12" xfId="0" applyFont="1" applyFill="1" applyBorder="1" applyAlignment="1" applyProtection="1">
      <alignment horizontal="center" vertical="center"/>
      <protection locked="0"/>
    </xf>
    <xf numFmtId="0" fontId="14" fillId="4" borderId="12" xfId="0" applyFont="1" applyFill="1" applyBorder="1" applyAlignment="1" applyProtection="1">
      <alignment horizontal="center" vertical="center" wrapText="1"/>
      <protection locked="0"/>
    </xf>
    <xf numFmtId="165" fontId="4" fillId="4" borderId="8" xfId="0" applyNumberFormat="1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horizontal="center"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4" fillId="4" borderId="11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8" fillId="4" borderId="17" xfId="0" applyFont="1" applyFill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/>
    </xf>
    <xf numFmtId="0" fontId="18" fillId="4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Zeros="0" tabSelected="1" topLeftCell="B1" zoomScale="130" zoomScaleNormal="130" workbookViewId="0">
      <pane ySplit="5" topLeftCell="A63" activePane="bottomLeft" state="frozen"/>
      <selection pane="bottomLeft" activeCell="E96" sqref="E96"/>
    </sheetView>
  </sheetViews>
  <sheetFormatPr defaultColWidth="9.140625" defaultRowHeight="15"/>
  <cols>
    <col min="1" max="1" width="9" style="2" hidden="1" customWidth="1"/>
    <col min="2" max="2" width="46.28515625" style="2" customWidth="1"/>
    <col min="3" max="3" width="8.28515625" style="2" hidden="1" customWidth="1"/>
    <col min="4" max="4" width="7.5703125" style="1" hidden="1" customWidth="1"/>
    <col min="5" max="5" width="5.42578125" style="3" customWidth="1"/>
    <col min="6" max="6" width="5.85546875" style="3" customWidth="1"/>
    <col min="7" max="7" width="7.5703125" style="4" customWidth="1"/>
    <col min="8" max="8" width="4.42578125" style="5" hidden="1" customWidth="1"/>
    <col min="9" max="9" width="11.140625" style="6" customWidth="1"/>
    <col min="10" max="16384" width="9.140625" style="2"/>
  </cols>
  <sheetData>
    <row r="1" spans="1:14" ht="15" customHeight="1">
      <c r="A1" s="7" t="s">
        <v>0</v>
      </c>
      <c r="B1" s="70" t="s">
        <v>1</v>
      </c>
      <c r="C1" s="70"/>
      <c r="D1" s="70"/>
      <c r="E1" s="71"/>
      <c r="F1" s="55" t="s">
        <v>2</v>
      </c>
      <c r="G1" s="56"/>
      <c r="H1" s="56"/>
      <c r="I1" s="57"/>
    </row>
    <row r="2" spans="1:14" ht="15" customHeight="1">
      <c r="A2" s="8"/>
      <c r="B2" s="72"/>
      <c r="C2" s="72"/>
      <c r="D2" s="72"/>
      <c r="E2" s="73"/>
      <c r="F2" s="64">
        <f>C232</f>
        <v>62650.352864394859</v>
      </c>
      <c r="G2" s="65"/>
      <c r="H2" s="65"/>
      <c r="I2" s="66"/>
    </row>
    <row r="3" spans="1:14" ht="15" customHeight="1">
      <c r="A3" s="9"/>
      <c r="B3" s="72"/>
      <c r="C3" s="72"/>
      <c r="D3" s="72"/>
      <c r="E3" s="73"/>
      <c r="F3" s="67"/>
      <c r="G3" s="68"/>
      <c r="H3" s="68"/>
      <c r="I3" s="69"/>
    </row>
    <row r="4" spans="1:14" ht="15" customHeight="1">
      <c r="A4" s="59" t="s">
        <v>3</v>
      </c>
      <c r="B4" s="60" t="s">
        <v>4</v>
      </c>
      <c r="C4" s="58" t="s">
        <v>5</v>
      </c>
      <c r="D4" s="58"/>
      <c r="E4" s="58"/>
      <c r="F4" s="58"/>
      <c r="G4" s="58"/>
      <c r="H4" s="61" t="s">
        <v>6</v>
      </c>
      <c r="I4" s="63" t="s">
        <v>2</v>
      </c>
    </row>
    <row r="5" spans="1:14">
      <c r="A5" s="59"/>
      <c r="B5" s="60"/>
      <c r="C5" s="10" t="s">
        <v>7</v>
      </c>
      <c r="D5" s="10" t="s">
        <v>8</v>
      </c>
      <c r="E5" s="11" t="s">
        <v>9</v>
      </c>
      <c r="F5" s="12" t="s">
        <v>10</v>
      </c>
      <c r="G5" s="13" t="s">
        <v>11</v>
      </c>
      <c r="H5" s="62"/>
      <c r="I5" s="63"/>
    </row>
    <row r="6" spans="1:14">
      <c r="A6" s="15"/>
      <c r="B6" s="16" t="s">
        <v>12</v>
      </c>
      <c r="C6" s="17"/>
      <c r="D6" s="17"/>
      <c r="E6" s="18"/>
      <c r="F6" s="19"/>
      <c r="G6" s="20"/>
      <c r="H6" s="17"/>
      <c r="I6" s="43"/>
    </row>
    <row r="7" spans="1:14" s="1" customFormat="1" ht="12.75" customHeight="1">
      <c r="A7" s="21">
        <v>21055</v>
      </c>
      <c r="B7" s="22" t="s">
        <v>13</v>
      </c>
      <c r="C7" s="23">
        <v>180.65</v>
      </c>
      <c r="D7" s="24">
        <f>(C7/2)</f>
        <v>90.325000000000003</v>
      </c>
      <c r="E7" s="25">
        <v>4</v>
      </c>
      <c r="F7" s="25">
        <v>2</v>
      </c>
      <c r="G7" s="26">
        <v>0</v>
      </c>
      <c r="H7" s="27">
        <f>(E7*2)+(F7*1)+G7</f>
        <v>10</v>
      </c>
      <c r="I7" s="44">
        <f t="shared" ref="I7:I31" si="0">H7*D7</f>
        <v>903.25</v>
      </c>
      <c r="M7" s="2"/>
      <c r="N7" s="2"/>
    </row>
    <row r="8" spans="1:14" s="1" customFormat="1">
      <c r="A8" s="21">
        <v>21317</v>
      </c>
      <c r="B8" s="22" t="s">
        <v>14</v>
      </c>
      <c r="C8" s="23">
        <v>368.56</v>
      </c>
      <c r="D8" s="24">
        <f>(C8/4)</f>
        <v>92.14</v>
      </c>
      <c r="E8" s="25">
        <v>4</v>
      </c>
      <c r="F8" s="28"/>
      <c r="G8" s="29"/>
      <c r="H8" s="27">
        <f>(E8*4)+(F8*1)+G9</f>
        <v>16</v>
      </c>
      <c r="I8" s="45">
        <f t="shared" si="0"/>
        <v>1474.24</v>
      </c>
      <c r="M8" s="2"/>
      <c r="N8" s="2"/>
    </row>
    <row r="9" spans="1:14">
      <c r="A9" s="30">
        <v>28582</v>
      </c>
      <c r="B9" s="22" t="s">
        <v>15</v>
      </c>
      <c r="C9" s="23">
        <v>174.27</v>
      </c>
      <c r="D9" s="24">
        <f>(C9/12.5)</f>
        <v>13.941599999999999</v>
      </c>
      <c r="E9" s="25">
        <v>20</v>
      </c>
      <c r="F9" s="25"/>
      <c r="G9" s="26"/>
      <c r="H9" s="27">
        <f>(E9*12.5)+(F9*2.5)+G9</f>
        <v>250</v>
      </c>
      <c r="I9" s="44">
        <f t="shared" si="0"/>
        <v>3485.3999999999996</v>
      </c>
    </row>
    <row r="10" spans="1:14">
      <c r="A10" s="31">
        <v>38585</v>
      </c>
      <c r="B10" s="22" t="s">
        <v>16</v>
      </c>
      <c r="C10" s="23">
        <v>62.49</v>
      </c>
      <c r="D10" s="24">
        <f>(C10/24)</f>
        <v>2.6037499999999998</v>
      </c>
      <c r="E10" s="25">
        <v>0</v>
      </c>
      <c r="F10" s="32"/>
      <c r="G10" s="28">
        <v>0</v>
      </c>
      <c r="H10" s="27">
        <f>(E10*24)+G10</f>
        <v>0</v>
      </c>
      <c r="I10" s="45">
        <f t="shared" si="0"/>
        <v>0</v>
      </c>
    </row>
    <row r="11" spans="1:14">
      <c r="A11" s="31"/>
      <c r="B11" s="22" t="s">
        <v>17</v>
      </c>
      <c r="C11" s="23">
        <v>182.46</v>
      </c>
      <c r="D11" s="24">
        <f>(C11/1)</f>
        <v>182.46</v>
      </c>
      <c r="E11" s="25">
        <v>2</v>
      </c>
      <c r="F11" s="28"/>
      <c r="G11" s="29"/>
      <c r="H11" s="27">
        <f>(E11*4)+(F11*2)+G11</f>
        <v>8</v>
      </c>
      <c r="I11" s="45">
        <f t="shared" si="0"/>
        <v>1459.68</v>
      </c>
    </row>
    <row r="12" spans="1:14">
      <c r="A12" s="30">
        <v>34840</v>
      </c>
      <c r="B12" s="22" t="s">
        <v>18</v>
      </c>
      <c r="C12" s="23">
        <v>532.48</v>
      </c>
      <c r="D12" s="24">
        <f>(C12/17.2)</f>
        <v>30.958139534883699</v>
      </c>
      <c r="E12" s="25">
        <v>8</v>
      </c>
      <c r="F12" s="32"/>
      <c r="G12" s="29"/>
      <c r="H12" s="27">
        <f>(E12*17.2)+G12</f>
        <v>137.6</v>
      </c>
      <c r="I12" s="45">
        <f t="shared" si="0"/>
        <v>4259.8399999999965</v>
      </c>
    </row>
    <row r="13" spans="1:14">
      <c r="A13" s="30">
        <v>36252</v>
      </c>
      <c r="B13" s="33" t="s">
        <v>19</v>
      </c>
      <c r="C13" s="34">
        <v>358.87</v>
      </c>
      <c r="D13" s="35">
        <f>(C13/18.408)</f>
        <v>19.4953281182095</v>
      </c>
      <c r="E13" s="25">
        <v>0</v>
      </c>
      <c r="F13" s="32"/>
      <c r="G13" s="28"/>
      <c r="H13" s="27">
        <f>(E13*18.408)+G13</f>
        <v>0</v>
      </c>
      <c r="I13" s="45">
        <f t="shared" si="0"/>
        <v>0</v>
      </c>
    </row>
    <row r="14" spans="1:14">
      <c r="A14" s="30">
        <v>34754</v>
      </c>
      <c r="B14" s="22" t="s">
        <v>20</v>
      </c>
      <c r="C14" s="23">
        <v>531.34</v>
      </c>
      <c r="D14" s="24">
        <f>(C14/18.7)</f>
        <v>28.413903743315501</v>
      </c>
      <c r="E14" s="25">
        <v>5</v>
      </c>
      <c r="F14" s="32"/>
      <c r="G14" s="29"/>
      <c r="H14" s="27">
        <f>(E14*18.7)+G14</f>
        <v>93.5</v>
      </c>
      <c r="I14" s="45">
        <f t="shared" si="0"/>
        <v>2656.7</v>
      </c>
    </row>
    <row r="15" spans="1:14">
      <c r="A15" s="30">
        <v>35221</v>
      </c>
      <c r="B15" s="22" t="s">
        <v>21</v>
      </c>
      <c r="C15" s="23">
        <v>157.29</v>
      </c>
      <c r="D15" s="24">
        <f>(C15/9.88)</f>
        <v>15.92004048583</v>
      </c>
      <c r="E15" s="25">
        <v>6</v>
      </c>
      <c r="F15" s="28">
        <v>0</v>
      </c>
      <c r="G15" s="29"/>
      <c r="H15" s="27">
        <f>(E15*9.88)+(F15*0.9)+G15</f>
        <v>59.28</v>
      </c>
      <c r="I15" s="45">
        <f t="shared" si="0"/>
        <v>943.7400000000024</v>
      </c>
    </row>
    <row r="16" spans="1:14">
      <c r="A16" s="30">
        <v>38178</v>
      </c>
      <c r="B16" s="22" t="s">
        <v>22</v>
      </c>
      <c r="C16" s="23">
        <v>220.74</v>
      </c>
      <c r="D16" s="24">
        <f>(C16/12)</f>
        <v>18.395</v>
      </c>
      <c r="E16" s="25">
        <v>2</v>
      </c>
      <c r="F16" s="28"/>
      <c r="G16" s="29"/>
      <c r="H16" s="27">
        <f>(E16*12)+(F16*1)+G16</f>
        <v>24</v>
      </c>
      <c r="I16" s="45">
        <f t="shared" si="0"/>
        <v>441.48</v>
      </c>
    </row>
    <row r="17" spans="1:9">
      <c r="A17" s="30">
        <v>21403</v>
      </c>
      <c r="B17" s="22" t="s">
        <v>23</v>
      </c>
      <c r="C17" s="23">
        <v>449.65</v>
      </c>
      <c r="D17" s="24">
        <f>(C17/12)</f>
        <v>37.470833333333303</v>
      </c>
      <c r="E17" s="25">
        <v>1</v>
      </c>
      <c r="F17" s="32"/>
      <c r="G17" s="29"/>
      <c r="H17" s="27">
        <f>(E17*12)+G17</f>
        <v>12</v>
      </c>
      <c r="I17" s="45">
        <f t="shared" si="0"/>
        <v>449.65</v>
      </c>
    </row>
    <row r="18" spans="1:9">
      <c r="A18" s="30">
        <v>36409</v>
      </c>
      <c r="B18" s="22" t="s">
        <v>24</v>
      </c>
      <c r="C18" s="36">
        <v>293.99</v>
      </c>
      <c r="D18" s="24">
        <f t="shared" ref="D18:D24" si="1">(C18/15)</f>
        <v>19.599333333333298</v>
      </c>
      <c r="E18" s="25">
        <v>0</v>
      </c>
      <c r="F18" s="32"/>
      <c r="G18" s="28"/>
      <c r="H18" s="27">
        <f t="shared" ref="H18:H24" si="2">(E18*15)+G18</f>
        <v>0</v>
      </c>
      <c r="I18" s="45">
        <f t="shared" si="0"/>
        <v>0</v>
      </c>
    </row>
    <row r="19" spans="1:9">
      <c r="A19" s="30">
        <v>34580</v>
      </c>
      <c r="B19" s="22" t="s">
        <v>25</v>
      </c>
      <c r="C19" s="36">
        <v>220.63</v>
      </c>
      <c r="D19" s="24">
        <f t="shared" si="1"/>
        <v>14.7086666666667</v>
      </c>
      <c r="E19" s="25">
        <v>0</v>
      </c>
      <c r="F19" s="32"/>
      <c r="G19" s="28"/>
      <c r="H19" s="27">
        <f t="shared" si="2"/>
        <v>0</v>
      </c>
      <c r="I19" s="45">
        <f t="shared" si="0"/>
        <v>0</v>
      </c>
    </row>
    <row r="20" spans="1:9">
      <c r="A20" s="30">
        <v>31777</v>
      </c>
      <c r="B20" s="22" t="s">
        <v>26</v>
      </c>
      <c r="C20" s="37">
        <v>265</v>
      </c>
      <c r="D20" s="24">
        <f t="shared" si="1"/>
        <v>17.6666666666667</v>
      </c>
      <c r="E20" s="25"/>
      <c r="F20" s="32"/>
      <c r="G20" s="28"/>
      <c r="H20" s="27">
        <f t="shared" si="2"/>
        <v>0</v>
      </c>
      <c r="I20" s="45">
        <f t="shared" si="0"/>
        <v>0</v>
      </c>
    </row>
    <row r="21" spans="1:9">
      <c r="A21" s="30">
        <v>28451</v>
      </c>
      <c r="B21" s="22" t="s">
        <v>27</v>
      </c>
      <c r="C21" s="36">
        <v>208.63</v>
      </c>
      <c r="D21" s="24">
        <f t="shared" si="1"/>
        <v>13.908666666666701</v>
      </c>
      <c r="E21" s="25"/>
      <c r="F21" s="32"/>
      <c r="G21" s="28"/>
      <c r="H21" s="27">
        <f t="shared" si="2"/>
        <v>0</v>
      </c>
      <c r="I21" s="45">
        <f t="shared" si="0"/>
        <v>0</v>
      </c>
    </row>
    <row r="22" spans="1:9">
      <c r="A22" s="30">
        <v>13363</v>
      </c>
      <c r="B22" s="22" t="s">
        <v>28</v>
      </c>
      <c r="C22" s="36">
        <v>209.2</v>
      </c>
      <c r="D22" s="24">
        <f t="shared" si="1"/>
        <v>13.946666666666699</v>
      </c>
      <c r="E22" s="25"/>
      <c r="F22" s="32"/>
      <c r="G22" s="28"/>
      <c r="H22" s="27">
        <f t="shared" si="2"/>
        <v>0</v>
      </c>
      <c r="I22" s="45">
        <f t="shared" si="0"/>
        <v>0</v>
      </c>
    </row>
    <row r="23" spans="1:9">
      <c r="A23" s="30">
        <v>33919</v>
      </c>
      <c r="B23" s="22" t="s">
        <v>29</v>
      </c>
      <c r="C23" s="36">
        <v>213.49</v>
      </c>
      <c r="D23" s="24">
        <f t="shared" si="1"/>
        <v>14.232666666666701</v>
      </c>
      <c r="E23" s="25"/>
      <c r="F23" s="32"/>
      <c r="G23" s="28"/>
      <c r="H23" s="27">
        <f t="shared" si="2"/>
        <v>0</v>
      </c>
      <c r="I23" s="45">
        <f t="shared" si="0"/>
        <v>0</v>
      </c>
    </row>
    <row r="24" spans="1:9">
      <c r="A24" s="30">
        <v>34298</v>
      </c>
      <c r="B24" s="22" t="s">
        <v>30</v>
      </c>
      <c r="C24" s="36">
        <v>265.97000000000003</v>
      </c>
      <c r="D24" s="24">
        <f t="shared" si="1"/>
        <v>17.7313333333333</v>
      </c>
      <c r="E24" s="25"/>
      <c r="F24" s="32"/>
      <c r="G24" s="28"/>
      <c r="H24" s="27">
        <f t="shared" si="2"/>
        <v>0</v>
      </c>
      <c r="I24" s="45">
        <f t="shared" si="0"/>
        <v>0</v>
      </c>
    </row>
    <row r="25" spans="1:9">
      <c r="A25" s="31">
        <v>38635</v>
      </c>
      <c r="B25" s="22" t="s">
        <v>31</v>
      </c>
      <c r="C25" s="23">
        <v>208.74</v>
      </c>
      <c r="D25" s="24">
        <f>(C25/11)</f>
        <v>18.976363636363601</v>
      </c>
      <c r="E25" s="25">
        <v>3</v>
      </c>
      <c r="F25" s="28"/>
      <c r="G25" s="29"/>
      <c r="H25" s="27">
        <f>(E25*11)+(F25*1.1)+G25</f>
        <v>33</v>
      </c>
      <c r="I25" s="45">
        <f t="shared" si="0"/>
        <v>626.21999999999889</v>
      </c>
    </row>
    <row r="26" spans="1:9">
      <c r="A26" s="31">
        <v>38636</v>
      </c>
      <c r="B26" s="22" t="s">
        <v>32</v>
      </c>
      <c r="C26" s="23">
        <v>287.95999999999998</v>
      </c>
      <c r="D26" s="24">
        <f>(C26/270)</f>
        <v>1.06651851851852</v>
      </c>
      <c r="E26" s="25">
        <v>3</v>
      </c>
      <c r="F26" s="28"/>
      <c r="G26" s="28"/>
      <c r="H26" s="27">
        <f>(E26*270)+(F26*30)+G26</f>
        <v>810</v>
      </c>
      <c r="I26" s="45">
        <f t="shared" si="0"/>
        <v>863.88000000000113</v>
      </c>
    </row>
    <row r="27" spans="1:9">
      <c r="A27" s="31"/>
      <c r="B27" s="22" t="s">
        <v>33</v>
      </c>
      <c r="C27" s="23">
        <v>194.3</v>
      </c>
      <c r="D27" s="24">
        <f>(C27/120)</f>
        <v>1.61916666666667</v>
      </c>
      <c r="E27" s="25">
        <v>5</v>
      </c>
      <c r="F27" s="28"/>
      <c r="G27" s="28"/>
      <c r="H27" s="27">
        <f>(E27*120)+(F27*30)+G27</f>
        <v>600</v>
      </c>
      <c r="I27" s="45">
        <f t="shared" si="0"/>
        <v>971.50000000000193</v>
      </c>
    </row>
    <row r="28" spans="1:9">
      <c r="A28" s="31">
        <v>38638</v>
      </c>
      <c r="B28" s="22" t="s">
        <v>34</v>
      </c>
      <c r="C28" s="23">
        <v>190.05</v>
      </c>
      <c r="D28" s="24">
        <f>(C28/180)</f>
        <v>1.0558333333333301</v>
      </c>
      <c r="E28" s="25">
        <v>1</v>
      </c>
      <c r="F28" s="28">
        <v>4</v>
      </c>
      <c r="G28" s="28"/>
      <c r="H28" s="27">
        <f>(E28*180)+(F28*15)+G28</f>
        <v>240</v>
      </c>
      <c r="I28" s="45">
        <f t="shared" si="0"/>
        <v>253.39999999999921</v>
      </c>
    </row>
    <row r="29" spans="1:9">
      <c r="A29" s="31"/>
      <c r="B29" s="22" t="s">
        <v>35</v>
      </c>
      <c r="C29" s="36">
        <v>184.24</v>
      </c>
      <c r="D29" s="24">
        <f>(C29/192)</f>
        <v>0.95958333333333301</v>
      </c>
      <c r="E29" s="25">
        <v>1</v>
      </c>
      <c r="F29" s="28">
        <v>1</v>
      </c>
      <c r="G29" s="28"/>
      <c r="H29" s="27">
        <f>(E29*192)+(F29*20)+G29</f>
        <v>212</v>
      </c>
      <c r="I29" s="45">
        <f t="shared" si="0"/>
        <v>203.43166666666659</v>
      </c>
    </row>
    <row r="30" spans="1:9">
      <c r="A30" s="31"/>
      <c r="B30" s="33" t="s">
        <v>36</v>
      </c>
      <c r="C30" s="37">
        <v>250.95</v>
      </c>
      <c r="D30" s="35">
        <f>(C30/270)</f>
        <v>0.92944444444444396</v>
      </c>
      <c r="E30" s="25"/>
      <c r="F30" s="28"/>
      <c r="G30" s="28"/>
      <c r="H30" s="27">
        <f>(E30*270)+(F30*20)+G30</f>
        <v>0</v>
      </c>
      <c r="I30" s="45">
        <f t="shared" si="0"/>
        <v>0</v>
      </c>
    </row>
    <row r="31" spans="1:9">
      <c r="A31" s="31">
        <v>38639</v>
      </c>
      <c r="B31" s="22" t="s">
        <v>37</v>
      </c>
      <c r="C31" s="34">
        <v>278.83</v>
      </c>
      <c r="D31" s="24">
        <f>(C31/10)</f>
        <v>27.882999999999999</v>
      </c>
      <c r="E31" s="25">
        <v>2</v>
      </c>
      <c r="F31" s="28">
        <v>1</v>
      </c>
      <c r="G31" s="29"/>
      <c r="H31" s="27">
        <f>(E31*10)+(F31*2.5)+G31</f>
        <v>22.5</v>
      </c>
      <c r="I31" s="45">
        <f t="shared" si="0"/>
        <v>627.36749999999995</v>
      </c>
    </row>
    <row r="32" spans="1:9">
      <c r="A32" s="31"/>
      <c r="B32" s="22"/>
      <c r="C32" s="34"/>
      <c r="D32" s="24"/>
      <c r="E32" s="25"/>
      <c r="F32" s="28"/>
      <c r="G32" s="29"/>
      <c r="H32" s="27"/>
      <c r="I32" s="45"/>
    </row>
    <row r="33" spans="1:9">
      <c r="A33" s="15"/>
      <c r="B33" s="14" t="s">
        <v>38</v>
      </c>
      <c r="C33" s="38"/>
      <c r="D33" s="39"/>
      <c r="E33" s="40"/>
      <c r="F33" s="12"/>
      <c r="G33" s="13"/>
      <c r="H33" s="41">
        <f>(E33*6)+(F33*2)+G33</f>
        <v>0</v>
      </c>
      <c r="I33" s="41"/>
    </row>
    <row r="34" spans="1:9" ht="15" customHeight="1">
      <c r="A34" s="30">
        <v>37466</v>
      </c>
      <c r="B34" s="22" t="s">
        <v>39</v>
      </c>
      <c r="C34" s="34">
        <v>43.61</v>
      </c>
      <c r="D34" s="24">
        <f>(C34/12)</f>
        <v>3.6341666666666699</v>
      </c>
      <c r="E34" s="25"/>
      <c r="F34" s="32"/>
      <c r="G34" s="28"/>
      <c r="H34" s="27">
        <f>(E34*12)+G34</f>
        <v>0</v>
      </c>
      <c r="I34" s="45">
        <f t="shared" ref="I34:I46" si="3">H34*D34</f>
        <v>0</v>
      </c>
    </row>
    <row r="35" spans="1:9">
      <c r="A35" s="30">
        <v>19909</v>
      </c>
      <c r="B35" s="22" t="s">
        <v>40</v>
      </c>
      <c r="C35" s="23">
        <v>40.79</v>
      </c>
      <c r="D35" s="24">
        <f>(C35/48)</f>
        <v>0.84979166666666694</v>
      </c>
      <c r="E35" s="25">
        <v>1</v>
      </c>
      <c r="F35" s="32"/>
      <c r="G35" s="28">
        <v>16</v>
      </c>
      <c r="H35" s="27">
        <f>(E35*48)+G35</f>
        <v>64</v>
      </c>
      <c r="I35" s="45">
        <f t="shared" si="3"/>
        <v>54.386666666666684</v>
      </c>
    </row>
    <row r="36" spans="1:9">
      <c r="A36" s="30">
        <v>25622</v>
      </c>
      <c r="B36" s="22" t="s">
        <v>41</v>
      </c>
      <c r="C36" s="23">
        <v>211.8</v>
      </c>
      <c r="D36" s="24">
        <f>(C36/12)</f>
        <v>17.649999999999999</v>
      </c>
      <c r="E36" s="25">
        <v>3</v>
      </c>
      <c r="F36" s="28">
        <v>0</v>
      </c>
      <c r="G36" s="28"/>
      <c r="H36" s="27">
        <f>(E36*12)+(F36*2)+G36</f>
        <v>36</v>
      </c>
      <c r="I36" s="45">
        <f t="shared" si="3"/>
        <v>635.4</v>
      </c>
    </row>
    <row r="37" spans="1:9">
      <c r="A37" s="30">
        <v>35620</v>
      </c>
      <c r="B37" s="22" t="s">
        <v>42</v>
      </c>
      <c r="C37" s="23">
        <v>194.77</v>
      </c>
      <c r="D37" s="24">
        <f>(C37/20)</f>
        <v>9.7385000000000002</v>
      </c>
      <c r="E37" s="25">
        <v>6</v>
      </c>
      <c r="F37" s="28"/>
      <c r="G37" s="28"/>
      <c r="H37" s="27">
        <f>(E37*20)+(F37*10)+G37</f>
        <v>120</v>
      </c>
      <c r="I37" s="45">
        <f t="shared" si="3"/>
        <v>1168.6200000000001</v>
      </c>
    </row>
    <row r="38" spans="1:9">
      <c r="A38" s="30">
        <v>28459</v>
      </c>
      <c r="B38" s="22" t="s">
        <v>43</v>
      </c>
      <c r="C38" s="23">
        <v>152.13999999999999</v>
      </c>
      <c r="D38" s="24">
        <f>(C38/20)</f>
        <v>7.6070000000000002</v>
      </c>
      <c r="E38" s="25">
        <v>4</v>
      </c>
      <c r="F38" s="28"/>
      <c r="G38" s="28"/>
      <c r="H38" s="27">
        <f>(E38*20)+(F38*10)+G38</f>
        <v>80</v>
      </c>
      <c r="I38" s="45">
        <f t="shared" si="3"/>
        <v>608.55999999999995</v>
      </c>
    </row>
    <row r="39" spans="1:9">
      <c r="A39" s="30">
        <v>35562</v>
      </c>
      <c r="B39" s="22" t="s">
        <v>44</v>
      </c>
      <c r="C39" s="23">
        <v>94.04</v>
      </c>
      <c r="D39" s="24">
        <f>(C39/6)</f>
        <v>15.6733333333333</v>
      </c>
      <c r="E39" s="25">
        <v>2</v>
      </c>
      <c r="F39" s="28"/>
      <c r="G39" s="28">
        <v>2</v>
      </c>
      <c r="H39" s="27">
        <f>(E39*6)+(F39*2)+G39</f>
        <v>14</v>
      </c>
      <c r="I39" s="45">
        <f t="shared" si="3"/>
        <v>219.42666666666619</v>
      </c>
    </row>
    <row r="40" spans="1:9">
      <c r="A40" s="30">
        <v>35610</v>
      </c>
      <c r="B40" s="22" t="s">
        <v>45</v>
      </c>
      <c r="C40" s="23">
        <v>349.02</v>
      </c>
      <c r="D40" s="24">
        <f>(C40/16)</f>
        <v>21.813749999999999</v>
      </c>
      <c r="E40" s="25">
        <v>1</v>
      </c>
      <c r="F40" s="28"/>
      <c r="G40" s="28"/>
      <c r="H40" s="27">
        <f>(E40*16)+(F40*2)+G40</f>
        <v>16</v>
      </c>
      <c r="I40" s="45">
        <f t="shared" si="3"/>
        <v>349.02</v>
      </c>
    </row>
    <row r="41" spans="1:9">
      <c r="A41" s="30">
        <v>3029</v>
      </c>
      <c r="B41" s="22" t="s">
        <v>46</v>
      </c>
      <c r="C41" s="23">
        <v>598.55999999999995</v>
      </c>
      <c r="D41" s="24">
        <f>(C41/17.664)</f>
        <v>33.885869565217398</v>
      </c>
      <c r="E41" s="25">
        <v>2</v>
      </c>
      <c r="F41" s="28">
        <v>5</v>
      </c>
      <c r="G41" s="28"/>
      <c r="H41" s="27">
        <f>(E41*17.664)+(F41*2.208)+G41</f>
        <v>46.368000000000002</v>
      </c>
      <c r="I41" s="45">
        <f t="shared" si="3"/>
        <v>1571.22</v>
      </c>
    </row>
    <row r="42" spans="1:9">
      <c r="A42" s="30">
        <v>10138</v>
      </c>
      <c r="B42" s="22" t="s">
        <v>47</v>
      </c>
      <c r="C42" s="23">
        <v>39.56</v>
      </c>
      <c r="D42" s="24">
        <f>(C42/12)</f>
        <v>3.29666666666667</v>
      </c>
      <c r="E42" s="25"/>
      <c r="F42" s="32"/>
      <c r="G42" s="28"/>
      <c r="H42" s="27">
        <f>(E42*12)+G42</f>
        <v>0</v>
      </c>
      <c r="I42" s="45">
        <f t="shared" si="3"/>
        <v>0</v>
      </c>
    </row>
    <row r="43" spans="1:9">
      <c r="A43" s="30">
        <v>38021</v>
      </c>
      <c r="B43" s="22" t="s">
        <v>48</v>
      </c>
      <c r="C43" s="23">
        <v>39.56</v>
      </c>
      <c r="D43" s="24">
        <f>(C43/12)</f>
        <v>3.29666666666667</v>
      </c>
      <c r="E43" s="25">
        <v>2</v>
      </c>
      <c r="F43" s="32"/>
      <c r="G43" s="28">
        <v>0</v>
      </c>
      <c r="H43" s="27">
        <f>(E43*12)+G43</f>
        <v>24</v>
      </c>
      <c r="I43" s="45">
        <f t="shared" si="3"/>
        <v>79.120000000000076</v>
      </c>
    </row>
    <row r="44" spans="1:9">
      <c r="A44" s="30">
        <v>35959</v>
      </c>
      <c r="B44" s="22" t="s">
        <v>49</v>
      </c>
      <c r="C44" s="23">
        <v>39.56</v>
      </c>
      <c r="D44" s="24">
        <f>(C44/12)</f>
        <v>3.29666666666667</v>
      </c>
      <c r="E44" s="25"/>
      <c r="F44" s="32"/>
      <c r="G44" s="28">
        <v>0</v>
      </c>
      <c r="H44" s="27">
        <f>(E44*12)+G44</f>
        <v>0</v>
      </c>
      <c r="I44" s="45">
        <f t="shared" si="3"/>
        <v>0</v>
      </c>
    </row>
    <row r="45" spans="1:9">
      <c r="A45" s="30">
        <v>35046</v>
      </c>
      <c r="B45" s="22" t="s">
        <v>50</v>
      </c>
      <c r="C45" s="23">
        <v>13.17</v>
      </c>
      <c r="D45" s="24">
        <f>(C45/6)</f>
        <v>2.1949999999999998</v>
      </c>
      <c r="E45" s="25"/>
      <c r="F45" s="32"/>
      <c r="G45" s="28">
        <v>0</v>
      </c>
      <c r="H45" s="27">
        <f>(E45*6)+G45</f>
        <v>0</v>
      </c>
      <c r="I45" s="45">
        <f t="shared" si="3"/>
        <v>0</v>
      </c>
    </row>
    <row r="46" spans="1:9">
      <c r="A46" s="30">
        <v>35046</v>
      </c>
      <c r="B46" s="22" t="s">
        <v>51</v>
      </c>
      <c r="C46" s="23">
        <v>80.23</v>
      </c>
      <c r="D46" s="24">
        <f>(C46/7)</f>
        <v>11.4614285714286</v>
      </c>
      <c r="E46" s="25">
        <v>2</v>
      </c>
      <c r="F46" s="32"/>
      <c r="G46" s="28"/>
      <c r="H46" s="27">
        <f>(E46*7)+G46</f>
        <v>14</v>
      </c>
      <c r="I46" s="45">
        <f t="shared" si="3"/>
        <v>160.46000000000041</v>
      </c>
    </row>
    <row r="47" spans="1:9">
      <c r="A47" s="30"/>
      <c r="B47" s="22"/>
      <c r="C47" s="23"/>
      <c r="D47" s="24"/>
      <c r="E47" s="25"/>
      <c r="F47" s="25"/>
      <c r="G47" s="28"/>
      <c r="H47" s="27"/>
      <c r="I47" s="45"/>
    </row>
    <row r="48" spans="1:9">
      <c r="A48" s="15"/>
      <c r="B48" s="14" t="s">
        <v>52</v>
      </c>
      <c r="C48" s="38"/>
      <c r="D48" s="39"/>
      <c r="E48" s="42"/>
      <c r="F48" s="12"/>
      <c r="G48" s="13"/>
      <c r="H48" s="41"/>
      <c r="I48" s="41"/>
    </row>
    <row r="49" spans="1:9">
      <c r="A49" s="30">
        <v>38537</v>
      </c>
      <c r="B49" s="22" t="s">
        <v>53</v>
      </c>
      <c r="C49" s="23">
        <v>141.04</v>
      </c>
      <c r="D49" s="24">
        <f>(C49/5.5)</f>
        <v>25.6436363636364</v>
      </c>
      <c r="E49" s="25">
        <v>1</v>
      </c>
      <c r="F49" s="28">
        <v>3</v>
      </c>
      <c r="G49" s="29"/>
      <c r="H49" s="27">
        <f>(E49*5.5)+(F49*1.1)+G49</f>
        <v>8.8000000000000007</v>
      </c>
      <c r="I49" s="45">
        <f t="shared" ref="I49:I72" si="4">H49*D49</f>
        <v>225.66399999999999</v>
      </c>
    </row>
    <row r="50" spans="1:9">
      <c r="A50" s="30">
        <v>38537</v>
      </c>
      <c r="B50" s="22" t="s">
        <v>54</v>
      </c>
      <c r="C50" s="23">
        <v>304.60000000000002</v>
      </c>
      <c r="D50" s="24">
        <f>(C50/4)</f>
        <v>76.150000000000006</v>
      </c>
      <c r="E50" s="25"/>
      <c r="F50" s="29">
        <v>2</v>
      </c>
      <c r="G50" s="29"/>
      <c r="H50" s="27">
        <f>(E50*4)+(F50*1)+G50</f>
        <v>2</v>
      </c>
      <c r="I50" s="45">
        <f t="shared" si="4"/>
        <v>152.30000000000001</v>
      </c>
    </row>
    <row r="51" spans="1:9">
      <c r="A51" s="30">
        <v>30489</v>
      </c>
      <c r="B51" s="22" t="s">
        <v>55</v>
      </c>
      <c r="C51" s="23">
        <v>202.91</v>
      </c>
      <c r="D51" s="24">
        <f>(C51/10)</f>
        <v>20.291</v>
      </c>
      <c r="E51" s="25">
        <v>1</v>
      </c>
      <c r="F51" s="28">
        <v>3</v>
      </c>
      <c r="G51" s="29"/>
      <c r="H51" s="27">
        <f>(E51*5)+(F51*0.5)+G51</f>
        <v>6.5</v>
      </c>
      <c r="I51" s="45">
        <f t="shared" si="4"/>
        <v>131.89150000000001</v>
      </c>
    </row>
    <row r="52" spans="1:9">
      <c r="A52" s="30">
        <v>32374</v>
      </c>
      <c r="B52" s="22" t="s">
        <v>56</v>
      </c>
      <c r="C52" s="23">
        <v>321.08999999999997</v>
      </c>
      <c r="D52" s="24">
        <f>(C52/7.2)</f>
        <v>44.595833333333303</v>
      </c>
      <c r="E52" s="25">
        <v>0</v>
      </c>
      <c r="F52" s="29"/>
      <c r="G52" s="29"/>
      <c r="H52" s="27">
        <f>(E52*7.2)+(F52*0.3)+G52</f>
        <v>0</v>
      </c>
      <c r="I52" s="45">
        <f t="shared" si="4"/>
        <v>0</v>
      </c>
    </row>
    <row r="53" spans="1:9">
      <c r="A53" s="30">
        <v>35407</v>
      </c>
      <c r="B53" s="22" t="s">
        <v>57</v>
      </c>
      <c r="C53" s="23">
        <v>113.51</v>
      </c>
      <c r="D53" s="24">
        <f>(C53/16)</f>
        <v>7.0943750000000003</v>
      </c>
      <c r="E53" s="25">
        <v>1</v>
      </c>
      <c r="F53" s="28">
        <v>0</v>
      </c>
      <c r="G53" s="29"/>
      <c r="H53" s="27">
        <f>(E53*16)+(F53*2)+G53</f>
        <v>16</v>
      </c>
      <c r="I53" s="45">
        <f t="shared" si="4"/>
        <v>113.51</v>
      </c>
    </row>
    <row r="54" spans="1:9">
      <c r="A54" s="30">
        <v>37967</v>
      </c>
      <c r="B54" s="22" t="s">
        <v>58</v>
      </c>
      <c r="C54" s="23">
        <v>264.95</v>
      </c>
      <c r="D54" s="24">
        <f>(C54/18)</f>
        <v>14.719444444444401</v>
      </c>
      <c r="E54" s="25">
        <v>1</v>
      </c>
      <c r="F54" s="28">
        <v>1</v>
      </c>
      <c r="G54" s="29"/>
      <c r="H54" s="27">
        <f>(E54*18)+(F54*2)+G54</f>
        <v>20</v>
      </c>
      <c r="I54" s="45">
        <f t="shared" si="4"/>
        <v>294.388888888888</v>
      </c>
    </row>
    <row r="55" spans="1:9">
      <c r="A55" s="30">
        <v>34638</v>
      </c>
      <c r="B55" s="22" t="s">
        <v>59</v>
      </c>
      <c r="C55" s="23">
        <v>289</v>
      </c>
      <c r="D55" s="24">
        <f>(C55/304)</f>
        <v>0.95065789473684204</v>
      </c>
      <c r="E55" s="25">
        <v>1</v>
      </c>
      <c r="F55" s="32"/>
      <c r="G55" s="28">
        <v>33</v>
      </c>
      <c r="H55" s="27">
        <f>(E55*304)+G55</f>
        <v>337</v>
      </c>
      <c r="I55" s="45">
        <f t="shared" si="4"/>
        <v>320.37171052631601</v>
      </c>
    </row>
    <row r="56" spans="1:9">
      <c r="A56" s="30">
        <v>36083</v>
      </c>
      <c r="B56" s="22" t="s">
        <v>60</v>
      </c>
      <c r="C56" s="34">
        <v>141.11000000000001</v>
      </c>
      <c r="D56" s="24">
        <f>(C56/5.5)</f>
        <v>25.656363636363601</v>
      </c>
      <c r="E56" s="25">
        <v>1</v>
      </c>
      <c r="F56" s="28">
        <v>3</v>
      </c>
      <c r="G56" s="29"/>
      <c r="H56" s="27">
        <f>(E56*5.5)+(F56*1.1)+G56</f>
        <v>8.8000000000000007</v>
      </c>
      <c r="I56" s="45">
        <f t="shared" si="4"/>
        <v>225.77600000000001</v>
      </c>
    </row>
    <row r="57" spans="1:9">
      <c r="A57" s="30">
        <v>35205</v>
      </c>
      <c r="B57" s="22" t="s">
        <v>61</v>
      </c>
      <c r="C57" s="23">
        <v>187.74</v>
      </c>
      <c r="D57" s="24">
        <f>(C57/304)</f>
        <v>0.61756578947368401</v>
      </c>
      <c r="E57" s="25">
        <v>1</v>
      </c>
      <c r="F57" s="32"/>
      <c r="G57" s="28">
        <v>7</v>
      </c>
      <c r="H57" s="27">
        <f>(E57*304)+G57</f>
        <v>311</v>
      </c>
      <c r="I57" s="45">
        <f t="shared" si="4"/>
        <v>192.062960526316</v>
      </c>
    </row>
    <row r="58" spans="1:9">
      <c r="A58" s="30">
        <v>35205</v>
      </c>
      <c r="B58" s="22" t="s">
        <v>62</v>
      </c>
      <c r="C58" s="23">
        <v>70.22</v>
      </c>
      <c r="D58" s="24">
        <f>(C58/5.5)</f>
        <v>12.767272727272699</v>
      </c>
      <c r="E58" s="25">
        <v>3</v>
      </c>
      <c r="F58" s="28"/>
      <c r="G58" s="29"/>
      <c r="H58" s="27">
        <f>(E58*5.5)+(F58*1.1)+G58</f>
        <v>16.5</v>
      </c>
      <c r="I58" s="45">
        <f t="shared" si="4"/>
        <v>210.65999999999954</v>
      </c>
    </row>
    <row r="59" spans="1:9">
      <c r="A59" s="30">
        <v>37987</v>
      </c>
      <c r="B59" s="22" t="s">
        <v>63</v>
      </c>
      <c r="C59" s="23">
        <v>91.66</v>
      </c>
      <c r="D59" s="24">
        <f>(C59/144)</f>
        <v>0.63652777777777803</v>
      </c>
      <c r="E59" s="25">
        <v>2</v>
      </c>
      <c r="F59" s="32"/>
      <c r="G59" s="28"/>
      <c r="H59" s="27">
        <f>(E59*144)+G59</f>
        <v>288</v>
      </c>
      <c r="I59" s="45">
        <f t="shared" si="4"/>
        <v>183.32000000000008</v>
      </c>
    </row>
    <row r="60" spans="1:9">
      <c r="A60" s="30">
        <v>35083</v>
      </c>
      <c r="B60" s="33" t="s">
        <v>64</v>
      </c>
      <c r="C60" s="37">
        <v>116.7</v>
      </c>
      <c r="D60" s="24">
        <f>(C60/6)</f>
        <v>19.45</v>
      </c>
      <c r="E60" s="25"/>
      <c r="F60" s="28"/>
      <c r="G60" s="29"/>
      <c r="H60" s="27">
        <f>(E60*6)+(F60*0.5)+G60</f>
        <v>0</v>
      </c>
      <c r="I60" s="45">
        <f t="shared" si="4"/>
        <v>0</v>
      </c>
    </row>
    <row r="61" spans="1:9">
      <c r="A61" s="30">
        <v>35531</v>
      </c>
      <c r="B61" s="22" t="s">
        <v>65</v>
      </c>
      <c r="C61" s="23">
        <v>95.27</v>
      </c>
      <c r="D61" s="24">
        <f>(C61/144)</f>
        <v>0.66159722222222195</v>
      </c>
      <c r="E61" s="25">
        <v>2</v>
      </c>
      <c r="F61" s="32"/>
      <c r="G61" s="28">
        <v>10</v>
      </c>
      <c r="H61" s="27">
        <f>(E61*144)+G61</f>
        <v>298</v>
      </c>
      <c r="I61" s="45">
        <f t="shared" si="4"/>
        <v>197.15597222222215</v>
      </c>
    </row>
    <row r="62" spans="1:9">
      <c r="A62" s="31">
        <v>38594</v>
      </c>
      <c r="B62" s="22" t="s">
        <v>66</v>
      </c>
      <c r="C62" s="23">
        <v>80.540000000000006</v>
      </c>
      <c r="D62" s="24">
        <f>(C62/5.5)</f>
        <v>14.6436363636364</v>
      </c>
      <c r="E62" s="25">
        <v>1</v>
      </c>
      <c r="F62" s="28"/>
      <c r="G62" s="29"/>
      <c r="H62" s="27">
        <f>(E62*5.5)+(F62*1.1)+G62</f>
        <v>5.5</v>
      </c>
      <c r="I62" s="45">
        <f t="shared" si="4"/>
        <v>80.540000000000205</v>
      </c>
    </row>
    <row r="63" spans="1:9">
      <c r="A63" s="30">
        <v>35408</v>
      </c>
      <c r="B63" s="22" t="s">
        <v>67</v>
      </c>
      <c r="C63" s="23">
        <v>89.39</v>
      </c>
      <c r="D63" s="24">
        <f>(C63/5.5)</f>
        <v>16.252727272727299</v>
      </c>
      <c r="E63" s="25">
        <v>2</v>
      </c>
      <c r="F63" s="28">
        <v>2</v>
      </c>
      <c r="G63" s="29"/>
      <c r="H63" s="27">
        <f>(E63*5.5)+(F63*1.1)+G63</f>
        <v>13.2</v>
      </c>
      <c r="I63" s="45">
        <f t="shared" si="4"/>
        <v>214.53600000000034</v>
      </c>
    </row>
    <row r="64" spans="1:9">
      <c r="A64" s="30">
        <v>35740</v>
      </c>
      <c r="B64" s="22" t="s">
        <v>68</v>
      </c>
      <c r="C64" s="23">
        <v>138.62</v>
      </c>
      <c r="D64" s="24">
        <f>(C64/16)</f>
        <v>8.6637500000000003</v>
      </c>
      <c r="E64" s="25">
        <v>1</v>
      </c>
      <c r="F64" s="28">
        <v>3</v>
      </c>
      <c r="G64" s="29"/>
      <c r="H64" s="27">
        <f>(E64*16)+(F64*2)+G64</f>
        <v>22</v>
      </c>
      <c r="I64" s="45">
        <f t="shared" si="4"/>
        <v>190.60250000000002</v>
      </c>
    </row>
    <row r="65" spans="1:9">
      <c r="A65" s="30">
        <v>21671</v>
      </c>
      <c r="B65" s="22" t="s">
        <v>69</v>
      </c>
      <c r="C65" s="23">
        <v>127.3</v>
      </c>
      <c r="D65" s="24">
        <f>(C65/2304)</f>
        <v>5.5251736111111102E-2</v>
      </c>
      <c r="E65" s="25">
        <v>2</v>
      </c>
      <c r="F65" s="32"/>
      <c r="G65" s="28">
        <v>0</v>
      </c>
      <c r="H65" s="27">
        <f>(E65*2304)+G65</f>
        <v>4608</v>
      </c>
      <c r="I65" s="45">
        <f t="shared" si="4"/>
        <v>254.59999999999997</v>
      </c>
    </row>
    <row r="66" spans="1:9">
      <c r="A66" s="30">
        <v>32997</v>
      </c>
      <c r="B66" s="22" t="s">
        <v>70</v>
      </c>
      <c r="C66" s="23">
        <v>232.55</v>
      </c>
      <c r="D66" s="24">
        <f>(C66/18)</f>
        <v>12.9194444444444</v>
      </c>
      <c r="E66" s="25">
        <v>4</v>
      </c>
      <c r="F66" s="28"/>
      <c r="G66" s="32"/>
      <c r="H66" s="27">
        <f>(E66*18)+(F66*3)</f>
        <v>72</v>
      </c>
      <c r="I66" s="45">
        <f t="shared" si="4"/>
        <v>930.19999999999698</v>
      </c>
    </row>
    <row r="67" spans="1:9">
      <c r="A67" s="30">
        <v>35835</v>
      </c>
      <c r="B67" s="22" t="s">
        <v>71</v>
      </c>
      <c r="C67" s="23">
        <v>254.96</v>
      </c>
      <c r="D67" s="24">
        <f>(C67/13.8)</f>
        <v>18.475362318840599</v>
      </c>
      <c r="E67" s="25">
        <v>2</v>
      </c>
      <c r="F67" s="28">
        <v>3</v>
      </c>
      <c r="G67" s="29"/>
      <c r="H67" s="27">
        <f>(E67*13.8)+(F67*3)+G67</f>
        <v>36.6</v>
      </c>
      <c r="I67" s="45">
        <f t="shared" si="4"/>
        <v>676.19826086956596</v>
      </c>
    </row>
    <row r="68" spans="1:9">
      <c r="A68" s="30">
        <v>36084</v>
      </c>
      <c r="B68" s="22" t="s">
        <v>72</v>
      </c>
      <c r="C68" s="23">
        <v>233.38</v>
      </c>
      <c r="D68" s="24">
        <f>(C68/9)</f>
        <v>25.9311111111111</v>
      </c>
      <c r="E68" s="25">
        <v>1</v>
      </c>
      <c r="F68" s="28">
        <v>4</v>
      </c>
      <c r="G68" s="29"/>
      <c r="H68" s="27">
        <f>(E68*9)+(F68*1.5)+G68</f>
        <v>15</v>
      </c>
      <c r="I68" s="45">
        <f t="shared" si="4"/>
        <v>388.96666666666698</v>
      </c>
    </row>
    <row r="69" spans="1:9">
      <c r="A69" s="30">
        <v>34862</v>
      </c>
      <c r="B69" s="22" t="s">
        <v>73</v>
      </c>
      <c r="C69" s="23">
        <v>107.23</v>
      </c>
      <c r="D69" s="24">
        <f>(C69/1500)</f>
        <v>7.1486666666666698E-2</v>
      </c>
      <c r="E69" s="25">
        <v>2</v>
      </c>
      <c r="F69" s="32"/>
      <c r="G69" s="28"/>
      <c r="H69" s="27">
        <f>(E69*1500)+G69</f>
        <v>3000</v>
      </c>
      <c r="I69" s="45">
        <f t="shared" si="4"/>
        <v>214.46000000000009</v>
      </c>
    </row>
    <row r="70" spans="1:9">
      <c r="A70" s="30">
        <v>10947</v>
      </c>
      <c r="B70" s="22" t="s">
        <v>74</v>
      </c>
      <c r="C70" s="23">
        <v>280.76</v>
      </c>
      <c r="D70" s="24">
        <f>(C70/600)</f>
        <v>0.46793333333333298</v>
      </c>
      <c r="E70" s="25">
        <v>2</v>
      </c>
      <c r="F70" s="32"/>
      <c r="G70" s="28">
        <v>200</v>
      </c>
      <c r="H70" s="27">
        <f>(E70*600)+G70</f>
        <v>1400</v>
      </c>
      <c r="I70" s="45">
        <f t="shared" si="4"/>
        <v>655.10666666666611</v>
      </c>
    </row>
    <row r="71" spans="1:9">
      <c r="A71" s="30">
        <v>33290</v>
      </c>
      <c r="B71" s="22" t="s">
        <v>75</v>
      </c>
      <c r="C71" s="23">
        <v>65.62</v>
      </c>
      <c r="D71" s="24">
        <f>(C71/10)</f>
        <v>6.5620000000000003</v>
      </c>
      <c r="E71" s="25">
        <v>2</v>
      </c>
      <c r="F71" s="32"/>
      <c r="G71" s="28">
        <v>8</v>
      </c>
      <c r="H71" s="27">
        <f>(E71*10)+G71</f>
        <v>28</v>
      </c>
      <c r="I71" s="45">
        <f t="shared" si="4"/>
        <v>183.73599999999999</v>
      </c>
    </row>
    <row r="72" spans="1:9">
      <c r="A72" s="30">
        <v>20754</v>
      </c>
      <c r="B72" s="22" t="s">
        <v>76</v>
      </c>
      <c r="C72" s="23">
        <v>31.98</v>
      </c>
      <c r="D72" s="24">
        <f>(C72/2500)</f>
        <v>1.2792E-2</v>
      </c>
      <c r="E72" s="25">
        <v>1</v>
      </c>
      <c r="F72" s="32"/>
      <c r="G72" s="28">
        <v>2000</v>
      </c>
      <c r="H72" s="27">
        <f>(E72*2500)+G72</f>
        <v>4500</v>
      </c>
      <c r="I72" s="45">
        <f t="shared" si="4"/>
        <v>57.564</v>
      </c>
    </row>
    <row r="73" spans="1:9">
      <c r="A73" s="30">
        <v>34607</v>
      </c>
      <c r="B73" s="22"/>
      <c r="C73" s="34"/>
      <c r="D73" s="24"/>
      <c r="E73" s="25"/>
      <c r="F73" s="32"/>
      <c r="G73" s="29"/>
      <c r="H73" s="27"/>
      <c r="I73" s="45"/>
    </row>
    <row r="74" spans="1:9">
      <c r="A74" s="15"/>
      <c r="B74" s="14" t="s">
        <v>77</v>
      </c>
      <c r="C74" s="38"/>
      <c r="D74" s="39"/>
      <c r="E74" s="42"/>
      <c r="F74" s="12"/>
      <c r="G74" s="13"/>
      <c r="H74" s="41"/>
      <c r="I74" s="41"/>
    </row>
    <row r="75" spans="1:9">
      <c r="A75" s="30">
        <v>35912</v>
      </c>
      <c r="B75" s="22" t="s">
        <v>78</v>
      </c>
      <c r="C75" s="23">
        <v>265.94</v>
      </c>
      <c r="D75" s="24">
        <f>(C75/24)</f>
        <v>11.080833333333301</v>
      </c>
      <c r="E75" s="25"/>
      <c r="F75" s="28"/>
      <c r="G75" s="29"/>
      <c r="H75" s="27">
        <f>(E75*24)+(F75*1)+G75</f>
        <v>0</v>
      </c>
      <c r="I75" s="45">
        <f t="shared" ref="I75:I90" si="5">H75*D75</f>
        <v>0</v>
      </c>
    </row>
    <row r="76" spans="1:9">
      <c r="A76" s="30">
        <v>35912</v>
      </c>
      <c r="B76" s="22" t="s">
        <v>79</v>
      </c>
      <c r="C76" s="23">
        <v>172.79</v>
      </c>
      <c r="D76" s="24">
        <f>(C76/300)</f>
        <v>0.57596666666666696</v>
      </c>
      <c r="E76" s="25"/>
      <c r="F76" s="28"/>
      <c r="G76" s="28"/>
      <c r="H76" s="27">
        <f>(E76*300)+(F76*75)+G76</f>
        <v>0</v>
      </c>
      <c r="I76" s="45">
        <f t="shared" si="5"/>
        <v>0</v>
      </c>
    </row>
    <row r="77" spans="1:9">
      <c r="A77" s="30">
        <v>35642</v>
      </c>
      <c r="B77" s="22" t="s">
        <v>80</v>
      </c>
      <c r="C77" s="36">
        <v>185.93</v>
      </c>
      <c r="D77" s="24">
        <f>(C77/30)</f>
        <v>6.1976666666666702</v>
      </c>
      <c r="E77" s="25"/>
      <c r="F77" s="28"/>
      <c r="G77" s="29"/>
      <c r="H77" s="27">
        <f>(E77*30)+(F77*1)+G77</f>
        <v>0</v>
      </c>
      <c r="I77" s="45">
        <f t="shared" si="5"/>
        <v>0</v>
      </c>
    </row>
    <row r="78" spans="1:9">
      <c r="A78" s="30">
        <v>31161</v>
      </c>
      <c r="B78" s="22" t="s">
        <v>81</v>
      </c>
      <c r="C78" s="34">
        <v>496.07</v>
      </c>
      <c r="D78" s="24">
        <f>(C78/8)</f>
        <v>62.008749999999999</v>
      </c>
      <c r="E78" s="25">
        <v>0</v>
      </c>
      <c r="F78" s="28"/>
      <c r="G78" s="29"/>
      <c r="H78" s="27">
        <f>(E78*8)+(F78*4)+G78</f>
        <v>0</v>
      </c>
      <c r="I78" s="45">
        <f t="shared" si="5"/>
        <v>0</v>
      </c>
    </row>
    <row r="79" spans="1:9">
      <c r="A79" s="30">
        <v>30153</v>
      </c>
      <c r="B79" s="22" t="s">
        <v>82</v>
      </c>
      <c r="C79" s="23">
        <v>83.72</v>
      </c>
      <c r="D79" s="24">
        <f>(C79/7.5)</f>
        <v>11.1626666666667</v>
      </c>
      <c r="E79" s="25">
        <v>1</v>
      </c>
      <c r="F79" s="28"/>
      <c r="G79" s="29"/>
      <c r="H79" s="27">
        <f>(E79*7.5)+(F79*1.25)+G79</f>
        <v>7.5</v>
      </c>
      <c r="I79" s="45">
        <f t="shared" si="5"/>
        <v>83.720000000000297</v>
      </c>
    </row>
    <row r="80" spans="1:9">
      <c r="A80" s="30">
        <v>38454</v>
      </c>
      <c r="B80" s="22" t="s">
        <v>83</v>
      </c>
      <c r="C80" s="23">
        <v>45.18</v>
      </c>
      <c r="D80" s="24">
        <f>(C80/300)</f>
        <v>0.15060000000000001</v>
      </c>
      <c r="E80" s="25">
        <v>3</v>
      </c>
      <c r="F80" s="28">
        <v>8</v>
      </c>
      <c r="G80" s="28"/>
      <c r="H80" s="27">
        <f>(E80*300)+(F80*10)+G80</f>
        <v>980</v>
      </c>
      <c r="I80" s="45">
        <f t="shared" si="5"/>
        <v>147.58799999999999</v>
      </c>
    </row>
    <row r="81" spans="1:9">
      <c r="A81" s="30">
        <v>36243</v>
      </c>
      <c r="B81" s="22" t="s">
        <v>84</v>
      </c>
      <c r="C81" s="23">
        <v>135.79</v>
      </c>
      <c r="D81" s="24">
        <f>(C81/9)</f>
        <v>15.0877777777778</v>
      </c>
      <c r="E81" s="25">
        <v>1</v>
      </c>
      <c r="F81" s="28"/>
      <c r="G81" s="29"/>
      <c r="H81" s="27">
        <f>(E81*9)+(F81*5)+G81</f>
        <v>9</v>
      </c>
      <c r="I81" s="45">
        <f t="shared" si="5"/>
        <v>135.79</v>
      </c>
    </row>
    <row r="82" spans="1:9">
      <c r="A82" s="30">
        <v>21215</v>
      </c>
      <c r="B82" s="22" t="s">
        <v>85</v>
      </c>
      <c r="C82" s="23">
        <v>378.76</v>
      </c>
      <c r="D82" s="24">
        <f>(C82/6)</f>
        <v>63.126666666666701</v>
      </c>
      <c r="E82" s="25"/>
      <c r="F82" s="28"/>
      <c r="G82" s="28"/>
      <c r="H82" s="27">
        <f>(E82*6)+(F82*0.75)+G82</f>
        <v>0</v>
      </c>
      <c r="I82" s="45">
        <f t="shared" si="5"/>
        <v>0</v>
      </c>
    </row>
    <row r="83" spans="1:9">
      <c r="A83" s="30">
        <v>21215</v>
      </c>
      <c r="B83" s="22" t="s">
        <v>86</v>
      </c>
      <c r="C83" s="23">
        <v>94.81</v>
      </c>
      <c r="D83" s="24">
        <f>(C83/5)</f>
        <v>18.962</v>
      </c>
      <c r="E83" s="25">
        <v>0</v>
      </c>
      <c r="F83" s="28">
        <v>3</v>
      </c>
      <c r="G83" s="28"/>
      <c r="H83" s="27">
        <f>(E83*5)+(F83*1)+G83</f>
        <v>3</v>
      </c>
      <c r="I83" s="45">
        <f t="shared" si="5"/>
        <v>56.886000000000003</v>
      </c>
    </row>
    <row r="84" spans="1:9">
      <c r="A84" s="31">
        <v>38838</v>
      </c>
      <c r="B84" s="22" t="s">
        <v>87</v>
      </c>
      <c r="C84" s="23">
        <v>111.78</v>
      </c>
      <c r="D84" s="24">
        <f>(C84/6)</f>
        <v>18.63</v>
      </c>
      <c r="E84" s="25">
        <v>1</v>
      </c>
      <c r="F84" s="28">
        <v>3</v>
      </c>
      <c r="G84" s="29"/>
      <c r="H84" s="27">
        <f>(E84*6)+(F84*1.5)+G84</f>
        <v>10.5</v>
      </c>
      <c r="I84" s="45">
        <f t="shared" si="5"/>
        <v>195.61500000000001</v>
      </c>
    </row>
    <row r="85" spans="1:9">
      <c r="A85" s="30">
        <v>3841</v>
      </c>
      <c r="B85" s="22" t="s">
        <v>88</v>
      </c>
      <c r="C85" s="23">
        <v>350.29</v>
      </c>
      <c r="D85" s="24">
        <f>(C85/6.9)</f>
        <v>50.766666666666701</v>
      </c>
      <c r="E85" s="25"/>
      <c r="F85" s="28"/>
      <c r="G85" s="29"/>
      <c r="H85" s="27">
        <f>(E85*6.9)+(F85*0.575)+G85</f>
        <v>0</v>
      </c>
      <c r="I85" s="45">
        <f t="shared" si="5"/>
        <v>0</v>
      </c>
    </row>
    <row r="86" spans="1:9">
      <c r="A86" s="30">
        <v>38008</v>
      </c>
      <c r="B86" s="22" t="s">
        <v>89</v>
      </c>
      <c r="C86" s="23">
        <v>114.37</v>
      </c>
      <c r="D86" s="24">
        <f>(C86/9.6)</f>
        <v>11.913541666666699</v>
      </c>
      <c r="E86" s="25">
        <v>0</v>
      </c>
      <c r="F86" s="28">
        <v>11</v>
      </c>
      <c r="G86" s="28"/>
      <c r="H86" s="46">
        <f>(E86*13.16)+(F86*1.09)+G86</f>
        <v>11.99</v>
      </c>
      <c r="I86" s="45">
        <f t="shared" si="5"/>
        <v>142.84336458333399</v>
      </c>
    </row>
    <row r="87" spans="1:9">
      <c r="A87" s="30"/>
      <c r="B87" s="22" t="s">
        <v>90</v>
      </c>
      <c r="C87" s="23">
        <v>338.01</v>
      </c>
      <c r="D87" s="24">
        <f>(C87/6)</f>
        <v>56.335000000000001</v>
      </c>
      <c r="E87" s="25">
        <v>2</v>
      </c>
      <c r="F87" s="28"/>
      <c r="G87" s="29"/>
      <c r="H87" s="27">
        <f>(E87*6)+(F87*3)+G87</f>
        <v>12</v>
      </c>
      <c r="I87" s="45">
        <f t="shared" si="5"/>
        <v>676.02</v>
      </c>
    </row>
    <row r="88" spans="1:9">
      <c r="A88" s="30"/>
      <c r="B88" s="22" t="s">
        <v>91</v>
      </c>
      <c r="C88" s="23">
        <v>347.93</v>
      </c>
      <c r="D88" s="24">
        <f>(C88/9)</f>
        <v>38.658888888888903</v>
      </c>
      <c r="E88" s="25">
        <v>1</v>
      </c>
      <c r="F88" s="28">
        <v>8</v>
      </c>
      <c r="G88" s="29"/>
      <c r="H88" s="27">
        <f>(E88*9)+(F88*0.75)+G88</f>
        <v>15</v>
      </c>
      <c r="I88" s="45">
        <f t="shared" si="5"/>
        <v>579.88333333333401</v>
      </c>
    </row>
    <row r="89" spans="1:9">
      <c r="A89" s="30"/>
      <c r="B89" s="22" t="s">
        <v>92</v>
      </c>
      <c r="C89" s="34">
        <v>1021.83</v>
      </c>
      <c r="D89" s="24">
        <f>(C89/9.6)</f>
        <v>106.440625</v>
      </c>
      <c r="E89" s="25">
        <v>2</v>
      </c>
      <c r="F89" s="28"/>
      <c r="G89" s="28"/>
      <c r="H89" s="27">
        <f>(E89*12)+(F89*1)+G89</f>
        <v>24</v>
      </c>
      <c r="I89" s="45">
        <f t="shared" si="5"/>
        <v>2554.5749999999998</v>
      </c>
    </row>
    <row r="90" spans="1:9">
      <c r="A90" s="30">
        <v>35708</v>
      </c>
      <c r="B90" s="22" t="s">
        <v>93</v>
      </c>
      <c r="C90" s="23">
        <v>566.58000000000004</v>
      </c>
      <c r="D90" s="24">
        <f>(C90/24)</f>
        <v>23.607500000000002</v>
      </c>
      <c r="E90" s="25">
        <v>1</v>
      </c>
      <c r="F90" s="28">
        <v>3</v>
      </c>
      <c r="G90" s="29"/>
      <c r="H90" s="47">
        <f>(E90*24)+(F90*4)+G90</f>
        <v>36</v>
      </c>
      <c r="I90" s="45">
        <f t="shared" si="5"/>
        <v>849.87</v>
      </c>
    </row>
    <row r="91" spans="1:9">
      <c r="A91" s="30"/>
      <c r="B91" s="22"/>
      <c r="C91" s="23"/>
      <c r="D91" s="24"/>
      <c r="E91" s="25"/>
      <c r="F91" s="28"/>
      <c r="G91" s="29"/>
      <c r="H91" s="47"/>
      <c r="I91" s="45"/>
    </row>
    <row r="92" spans="1:9">
      <c r="A92" s="15"/>
      <c r="B92" s="14" t="s">
        <v>94</v>
      </c>
      <c r="C92" s="38"/>
      <c r="D92" s="39"/>
      <c r="E92" s="40"/>
      <c r="F92" s="48"/>
      <c r="G92" s="41"/>
      <c r="H92" s="49">
        <f>(E92*100)+G92</f>
        <v>0</v>
      </c>
      <c r="I92" s="41"/>
    </row>
    <row r="93" spans="1:9">
      <c r="A93" s="30">
        <v>35505</v>
      </c>
      <c r="B93" s="22" t="s">
        <v>95</v>
      </c>
      <c r="C93" s="34">
        <v>290.77999999999997</v>
      </c>
      <c r="D93" s="24">
        <f>(C93/500)</f>
        <v>0.58155999999999997</v>
      </c>
      <c r="E93" s="25">
        <v>1</v>
      </c>
      <c r="F93" s="29">
        <v>2</v>
      </c>
      <c r="G93" s="28"/>
      <c r="H93" s="27">
        <f>(E93*500)+(F93*50)+G93</f>
        <v>600</v>
      </c>
      <c r="I93" s="45">
        <f t="shared" ref="I93:I123" si="6">H93*D93</f>
        <v>348.93599999999998</v>
      </c>
    </row>
    <row r="94" spans="1:9">
      <c r="A94" s="31">
        <v>38595</v>
      </c>
      <c r="B94" s="22" t="s">
        <v>96</v>
      </c>
      <c r="C94" s="34">
        <v>1057.6500000000001</v>
      </c>
      <c r="D94" s="24">
        <f>(C94/20)</f>
        <v>52.8825</v>
      </c>
      <c r="E94" s="25">
        <v>3</v>
      </c>
      <c r="F94" s="32"/>
      <c r="G94" s="28">
        <v>2</v>
      </c>
      <c r="H94" s="27">
        <f>(E94*20)+G94</f>
        <v>62</v>
      </c>
      <c r="I94" s="45">
        <f t="shared" si="6"/>
        <v>3278.7150000000001</v>
      </c>
    </row>
    <row r="95" spans="1:9">
      <c r="A95" s="30">
        <v>19556</v>
      </c>
      <c r="B95" s="22" t="s">
        <v>97</v>
      </c>
      <c r="C95" s="23">
        <v>99.56</v>
      </c>
      <c r="D95" s="24">
        <f>(C95/30)</f>
        <v>3.3186666666666702</v>
      </c>
      <c r="E95" s="25">
        <v>2</v>
      </c>
      <c r="F95" s="32"/>
      <c r="G95" s="28">
        <v>15</v>
      </c>
      <c r="H95" s="27">
        <f>(E95*30)+G95</f>
        <v>75</v>
      </c>
      <c r="I95" s="45">
        <f t="shared" si="6"/>
        <v>248.90000000000026</v>
      </c>
    </row>
    <row r="96" spans="1:9">
      <c r="A96" s="30">
        <v>19555</v>
      </c>
      <c r="B96" s="22" t="s">
        <v>98</v>
      </c>
      <c r="C96" s="23">
        <v>116.46</v>
      </c>
      <c r="D96" s="24">
        <f>(C96/1000)</f>
        <v>0.11645999999999999</v>
      </c>
      <c r="E96" s="25">
        <v>1</v>
      </c>
      <c r="F96" s="28"/>
      <c r="G96" s="28"/>
      <c r="H96" s="27">
        <f>(E96*1000)+(F96*50)+G96</f>
        <v>1000</v>
      </c>
      <c r="I96" s="45">
        <f t="shared" si="6"/>
        <v>116.46</v>
      </c>
    </row>
    <row r="97" spans="1:9">
      <c r="A97" s="30">
        <v>19557</v>
      </c>
      <c r="B97" s="22" t="s">
        <v>99</v>
      </c>
      <c r="C97" s="23">
        <v>148.44</v>
      </c>
      <c r="D97" s="24">
        <f>(C97/3000)</f>
        <v>4.9480000000000003E-2</v>
      </c>
      <c r="E97" s="25">
        <v>1</v>
      </c>
      <c r="F97" s="32"/>
      <c r="G97" s="28"/>
      <c r="H97" s="27">
        <f>(E97*3000)+(F97*50)+G97</f>
        <v>3000</v>
      </c>
      <c r="I97" s="45">
        <f t="shared" si="6"/>
        <v>148.44</v>
      </c>
    </row>
    <row r="98" spans="1:9">
      <c r="A98" s="30">
        <v>29004</v>
      </c>
      <c r="B98" s="22" t="s">
        <v>100</v>
      </c>
      <c r="C98" s="23">
        <v>256.11</v>
      </c>
      <c r="D98" s="24">
        <f>(C98/1600)</f>
        <v>0.16006875000000001</v>
      </c>
      <c r="E98" s="25">
        <v>2</v>
      </c>
      <c r="F98" s="29"/>
      <c r="G98" s="28">
        <v>200</v>
      </c>
      <c r="H98" s="27">
        <f>(E98*1600)+(F98*50)+G98</f>
        <v>3400</v>
      </c>
      <c r="I98" s="45">
        <f t="shared" si="6"/>
        <v>544.23374999999999</v>
      </c>
    </row>
    <row r="99" spans="1:9">
      <c r="A99" s="30">
        <v>29003</v>
      </c>
      <c r="B99" s="22" t="s">
        <v>101</v>
      </c>
      <c r="C99" s="23">
        <v>210.3</v>
      </c>
      <c r="D99" s="24">
        <f>(C99/1600)</f>
        <v>0.13143750000000001</v>
      </c>
      <c r="E99" s="25">
        <v>1</v>
      </c>
      <c r="F99" s="29"/>
      <c r="G99" s="28">
        <v>500</v>
      </c>
      <c r="H99" s="27">
        <f>(E99*1600)+(F99*50)+G99</f>
        <v>2100</v>
      </c>
      <c r="I99" s="45">
        <f t="shared" si="6"/>
        <v>276.01875000000001</v>
      </c>
    </row>
    <row r="100" spans="1:9">
      <c r="A100" s="30">
        <v>29017</v>
      </c>
      <c r="B100" s="22" t="s">
        <v>102</v>
      </c>
      <c r="C100" s="34">
        <v>80</v>
      </c>
      <c r="D100" s="24">
        <f>(C100/1000)</f>
        <v>0.08</v>
      </c>
      <c r="E100" s="25">
        <v>1</v>
      </c>
      <c r="F100" s="29"/>
      <c r="G100" s="28"/>
      <c r="H100" s="27">
        <f>(E100*1000)+(F100*50)+G100</f>
        <v>1000</v>
      </c>
      <c r="I100" s="45">
        <f t="shared" si="6"/>
        <v>80</v>
      </c>
    </row>
    <row r="101" spans="1:9">
      <c r="A101" s="30">
        <v>29857</v>
      </c>
      <c r="B101" s="22" t="s">
        <v>103</v>
      </c>
      <c r="C101" s="23">
        <v>365.57</v>
      </c>
      <c r="D101" s="24">
        <f>(C101/1200)</f>
        <v>0.30464166666666698</v>
      </c>
      <c r="E101" s="25">
        <v>1</v>
      </c>
      <c r="F101" s="28"/>
      <c r="G101" s="28"/>
      <c r="H101" s="27">
        <f>(E101*1200)+(F101*100)+G101</f>
        <v>1200</v>
      </c>
      <c r="I101" s="45">
        <f t="shared" si="6"/>
        <v>365.57</v>
      </c>
    </row>
    <row r="102" spans="1:9">
      <c r="A102" s="30">
        <v>28999</v>
      </c>
      <c r="B102" s="22" t="s">
        <v>104</v>
      </c>
      <c r="C102" s="23">
        <v>155.74</v>
      </c>
      <c r="D102" s="24">
        <f>(C102/2000)</f>
        <v>7.7869999999999995E-2</v>
      </c>
      <c r="E102" s="25">
        <v>1</v>
      </c>
      <c r="F102" s="28"/>
      <c r="G102" s="28">
        <v>320</v>
      </c>
      <c r="H102" s="27">
        <f>(E102*2000)+(F102*50)+G102</f>
        <v>2320</v>
      </c>
      <c r="I102" s="45">
        <f t="shared" si="6"/>
        <v>180.6584</v>
      </c>
    </row>
    <row r="103" spans="1:9">
      <c r="A103" s="30">
        <v>29000</v>
      </c>
      <c r="B103" s="22" t="s">
        <v>105</v>
      </c>
      <c r="C103" s="34">
        <v>88.18</v>
      </c>
      <c r="D103" s="24">
        <f>(C103/320)</f>
        <v>0.27556249999999999</v>
      </c>
      <c r="E103" s="25">
        <v>1</v>
      </c>
      <c r="F103" s="28">
        <v>8</v>
      </c>
      <c r="G103" s="28"/>
      <c r="H103" s="27">
        <f>(E103*320)+(F103*50)+G103</f>
        <v>720</v>
      </c>
      <c r="I103" s="45">
        <f t="shared" si="6"/>
        <v>198.405</v>
      </c>
    </row>
    <row r="104" spans="1:9">
      <c r="A104" s="30">
        <v>29002</v>
      </c>
      <c r="B104" s="22" t="s">
        <v>106</v>
      </c>
      <c r="C104" s="23">
        <v>89.24</v>
      </c>
      <c r="D104" s="24">
        <f>(C104/320)</f>
        <v>0.27887499999999998</v>
      </c>
      <c r="E104" s="25">
        <v>1</v>
      </c>
      <c r="F104" s="28">
        <v>9</v>
      </c>
      <c r="G104" s="28"/>
      <c r="H104" s="27">
        <f>(E104*320)+(F104*50)+G104</f>
        <v>770</v>
      </c>
      <c r="I104" s="45">
        <f t="shared" si="6"/>
        <v>214.73374999999999</v>
      </c>
    </row>
    <row r="105" spans="1:9">
      <c r="A105" s="30">
        <v>10337</v>
      </c>
      <c r="B105" s="22" t="s">
        <v>107</v>
      </c>
      <c r="C105" s="34">
        <v>231.34</v>
      </c>
      <c r="D105" s="24">
        <f>(C105/900)</f>
        <v>0.25704444444444402</v>
      </c>
      <c r="E105" s="25">
        <v>2</v>
      </c>
      <c r="F105" s="28"/>
      <c r="G105" s="28">
        <v>500</v>
      </c>
      <c r="H105" s="27">
        <f>(E105*900)+(F105*100)+G105</f>
        <v>2300</v>
      </c>
      <c r="I105" s="45">
        <f t="shared" si="6"/>
        <v>591.20222222222105</v>
      </c>
    </row>
    <row r="106" spans="1:9">
      <c r="A106" s="30">
        <v>35293</v>
      </c>
      <c r="B106" s="22" t="s">
        <v>108</v>
      </c>
      <c r="C106" s="23">
        <v>222.16</v>
      </c>
      <c r="D106" s="24">
        <f>(C106/900)</f>
        <v>0.24684444444444401</v>
      </c>
      <c r="E106" s="25">
        <v>1</v>
      </c>
      <c r="F106" s="28"/>
      <c r="G106" s="28">
        <v>280</v>
      </c>
      <c r="H106" s="27">
        <f>(E106*900)+(F106*100)+G106</f>
        <v>1180</v>
      </c>
      <c r="I106" s="45">
        <f t="shared" si="6"/>
        <v>291.276444444444</v>
      </c>
    </row>
    <row r="107" spans="1:9">
      <c r="A107" s="30">
        <v>32575</v>
      </c>
      <c r="B107" s="22" t="s">
        <v>109</v>
      </c>
      <c r="C107" s="23">
        <v>231.41</v>
      </c>
      <c r="D107" s="24">
        <f>(C107/900)</f>
        <v>0.25712222222222197</v>
      </c>
      <c r="E107" s="25">
        <v>1</v>
      </c>
      <c r="F107" s="28">
        <v>51</v>
      </c>
      <c r="G107" s="28"/>
      <c r="H107" s="27">
        <f>(E107*9000)+(F107*50)+G107</f>
        <v>11550</v>
      </c>
      <c r="I107" s="45">
        <f t="shared" si="6"/>
        <v>2969.7616666666599</v>
      </c>
    </row>
    <row r="108" spans="1:9">
      <c r="A108" s="30">
        <v>35144</v>
      </c>
      <c r="B108" s="22" t="s">
        <v>110</v>
      </c>
      <c r="C108" s="23">
        <v>191.7</v>
      </c>
      <c r="D108" s="24">
        <f>(C108/900)</f>
        <v>0.21299999999999999</v>
      </c>
      <c r="E108" s="25">
        <v>1</v>
      </c>
      <c r="F108" s="28"/>
      <c r="G108" s="28"/>
      <c r="H108" s="27">
        <f>(E108*9000)+(F108*50)+G108</f>
        <v>9000</v>
      </c>
      <c r="I108" s="45">
        <f t="shared" si="6"/>
        <v>1917</v>
      </c>
    </row>
    <row r="109" spans="1:9">
      <c r="A109" s="30">
        <v>35144</v>
      </c>
      <c r="B109" s="22" t="s">
        <v>111</v>
      </c>
      <c r="C109" s="23">
        <v>166.97</v>
      </c>
      <c r="D109" s="24">
        <f>(C109/1000)</f>
        <v>0.16697000000000001</v>
      </c>
      <c r="E109" s="25">
        <v>1</v>
      </c>
      <c r="F109" s="28">
        <v>23</v>
      </c>
      <c r="G109" s="28"/>
      <c r="H109" s="27">
        <f>(E109*1000)+(F109*50)+G109</f>
        <v>2150</v>
      </c>
      <c r="I109" s="45">
        <f t="shared" si="6"/>
        <v>358.9855</v>
      </c>
    </row>
    <row r="110" spans="1:9">
      <c r="A110" s="30">
        <v>23188</v>
      </c>
      <c r="B110" s="22" t="s">
        <v>112</v>
      </c>
      <c r="C110" s="34">
        <v>142.5</v>
      </c>
      <c r="D110" s="24">
        <f>(C110/500)</f>
        <v>0.28499999999999998</v>
      </c>
      <c r="E110" s="25"/>
      <c r="F110" s="32"/>
      <c r="G110" s="28"/>
      <c r="H110" s="27">
        <f>(E110*500)+G110</f>
        <v>0</v>
      </c>
      <c r="I110" s="45">
        <f t="shared" si="6"/>
        <v>0</v>
      </c>
    </row>
    <row r="111" spans="1:9">
      <c r="A111" s="30">
        <v>33128</v>
      </c>
      <c r="B111" s="22" t="s">
        <v>113</v>
      </c>
      <c r="C111" s="23">
        <v>123.32</v>
      </c>
      <c r="D111" s="24">
        <f>(C111/500)</f>
        <v>0.24664</v>
      </c>
      <c r="E111" s="25">
        <v>1</v>
      </c>
      <c r="F111" s="32"/>
      <c r="G111" s="28"/>
      <c r="H111" s="27">
        <f>(E111*500)+G111</f>
        <v>500</v>
      </c>
      <c r="I111" s="45">
        <f t="shared" si="6"/>
        <v>123.32</v>
      </c>
    </row>
    <row r="112" spans="1:9">
      <c r="A112" s="30">
        <v>38582</v>
      </c>
      <c r="B112" s="22" t="s">
        <v>114</v>
      </c>
      <c r="C112" s="23">
        <v>18.8</v>
      </c>
      <c r="D112" s="24">
        <f>(C112/1)</f>
        <v>18.8</v>
      </c>
      <c r="E112" s="25">
        <v>6</v>
      </c>
      <c r="F112" s="32"/>
      <c r="G112" s="32"/>
      <c r="H112" s="27">
        <f>(E112*1)</f>
        <v>6</v>
      </c>
      <c r="I112" s="45">
        <f t="shared" si="6"/>
        <v>112.8</v>
      </c>
    </row>
    <row r="113" spans="1:9">
      <c r="A113" s="30">
        <v>38581</v>
      </c>
      <c r="B113" s="22" t="s">
        <v>115</v>
      </c>
      <c r="C113" s="23">
        <v>5.03</v>
      </c>
      <c r="D113" s="24">
        <f t="shared" ref="D113:D119" si="7">(C113/1000)</f>
        <v>5.0299999999999997E-3</v>
      </c>
      <c r="E113" s="25">
        <v>2</v>
      </c>
      <c r="F113" s="32"/>
      <c r="G113" s="32"/>
      <c r="H113" s="27">
        <f t="shared" ref="H113:H119" si="8">(E113*1000)</f>
        <v>2000</v>
      </c>
      <c r="I113" s="45">
        <f t="shared" si="6"/>
        <v>10.06</v>
      </c>
    </row>
    <row r="114" spans="1:9">
      <c r="A114" s="30">
        <v>29750</v>
      </c>
      <c r="B114" s="22" t="s">
        <v>116</v>
      </c>
      <c r="C114" s="23">
        <v>5.03</v>
      </c>
      <c r="D114" s="24">
        <f t="shared" si="7"/>
        <v>5.0299999999999997E-3</v>
      </c>
      <c r="E114" s="25">
        <v>2</v>
      </c>
      <c r="F114" s="32"/>
      <c r="G114" s="32"/>
      <c r="H114" s="27">
        <f t="shared" si="8"/>
        <v>2000</v>
      </c>
      <c r="I114" s="45">
        <f t="shared" si="6"/>
        <v>10.06</v>
      </c>
    </row>
    <row r="115" spans="1:9">
      <c r="A115" s="30">
        <v>31195</v>
      </c>
      <c r="B115" s="22" t="s">
        <v>117</v>
      </c>
      <c r="C115" s="23">
        <v>5.03</v>
      </c>
      <c r="D115" s="24">
        <f t="shared" si="7"/>
        <v>5.0299999999999997E-3</v>
      </c>
      <c r="E115" s="25">
        <v>2</v>
      </c>
      <c r="F115" s="32"/>
      <c r="G115" s="32"/>
      <c r="H115" s="27">
        <f t="shared" si="8"/>
        <v>2000</v>
      </c>
      <c r="I115" s="45">
        <f t="shared" si="6"/>
        <v>10.06</v>
      </c>
    </row>
    <row r="116" spans="1:9">
      <c r="A116" s="30"/>
      <c r="B116" s="22" t="s">
        <v>118</v>
      </c>
      <c r="C116" s="23">
        <v>5.03</v>
      </c>
      <c r="D116" s="24">
        <f t="shared" si="7"/>
        <v>5.0299999999999997E-3</v>
      </c>
      <c r="E116" s="25">
        <v>3</v>
      </c>
      <c r="F116" s="32"/>
      <c r="G116" s="32"/>
      <c r="H116" s="27">
        <f t="shared" si="8"/>
        <v>3000</v>
      </c>
      <c r="I116" s="45">
        <f t="shared" si="6"/>
        <v>15.09</v>
      </c>
    </row>
    <row r="117" spans="1:9">
      <c r="A117" s="30">
        <v>31196</v>
      </c>
      <c r="B117" s="22" t="s">
        <v>119</v>
      </c>
      <c r="C117" s="23">
        <v>5.03</v>
      </c>
      <c r="D117" s="24">
        <f t="shared" si="7"/>
        <v>5.0299999999999997E-3</v>
      </c>
      <c r="E117" s="25">
        <v>2</v>
      </c>
      <c r="F117" s="32"/>
      <c r="G117" s="32"/>
      <c r="H117" s="27">
        <f t="shared" si="8"/>
        <v>2000</v>
      </c>
      <c r="I117" s="45">
        <f t="shared" si="6"/>
        <v>10.06</v>
      </c>
    </row>
    <row r="118" spans="1:9">
      <c r="A118" s="30">
        <v>34600</v>
      </c>
      <c r="B118" s="22" t="s">
        <v>120</v>
      </c>
      <c r="C118" s="23">
        <v>5.03</v>
      </c>
      <c r="D118" s="24">
        <f t="shared" si="7"/>
        <v>5.0299999999999997E-3</v>
      </c>
      <c r="E118" s="25">
        <v>1</v>
      </c>
      <c r="F118" s="32"/>
      <c r="G118" s="32"/>
      <c r="H118" s="27">
        <f t="shared" si="8"/>
        <v>1000</v>
      </c>
      <c r="I118" s="45">
        <f t="shared" si="6"/>
        <v>5.03</v>
      </c>
    </row>
    <row r="119" spans="1:9">
      <c r="A119" s="30">
        <v>34741</v>
      </c>
      <c r="B119" s="22" t="s">
        <v>121</v>
      </c>
      <c r="C119" s="23">
        <v>5.03</v>
      </c>
      <c r="D119" s="24">
        <f t="shared" si="7"/>
        <v>5.0299999999999997E-3</v>
      </c>
      <c r="E119" s="25">
        <v>3</v>
      </c>
      <c r="F119" s="32"/>
      <c r="G119" s="32"/>
      <c r="H119" s="27">
        <f t="shared" si="8"/>
        <v>3000</v>
      </c>
      <c r="I119" s="45">
        <f t="shared" si="6"/>
        <v>15.09</v>
      </c>
    </row>
    <row r="120" spans="1:9">
      <c r="A120" s="30">
        <v>31439</v>
      </c>
      <c r="B120" s="22" t="s">
        <v>122</v>
      </c>
      <c r="C120" s="23">
        <v>184.43</v>
      </c>
      <c r="D120" s="24">
        <f>(C120/1)</f>
        <v>184.43</v>
      </c>
      <c r="E120" s="25">
        <v>1</v>
      </c>
      <c r="F120" s="32"/>
      <c r="G120" s="32"/>
      <c r="H120" s="50">
        <f>(E120*1)</f>
        <v>1</v>
      </c>
      <c r="I120" s="45">
        <f t="shared" si="6"/>
        <v>184.43</v>
      </c>
    </row>
    <row r="121" spans="1:9">
      <c r="A121" s="30">
        <v>35572</v>
      </c>
      <c r="B121" s="22" t="s">
        <v>123</v>
      </c>
      <c r="C121" s="23">
        <v>468.65</v>
      </c>
      <c r="D121" s="24">
        <f>(C121/30)</f>
        <v>15.6216666666667</v>
      </c>
      <c r="E121" s="25"/>
      <c r="F121" s="32"/>
      <c r="G121" s="29">
        <v>30</v>
      </c>
      <c r="H121" s="27">
        <f>(E121*30)+G121</f>
        <v>30</v>
      </c>
      <c r="I121" s="45">
        <f t="shared" si="6"/>
        <v>468.65</v>
      </c>
    </row>
    <row r="122" spans="1:9">
      <c r="A122" s="30">
        <v>36115</v>
      </c>
      <c r="B122" s="22" t="s">
        <v>124</v>
      </c>
      <c r="C122" s="23">
        <v>383.55</v>
      </c>
      <c r="D122" s="24">
        <f>(C122/30)</f>
        <v>12.785</v>
      </c>
      <c r="E122" s="25"/>
      <c r="F122" s="32"/>
      <c r="G122" s="29"/>
      <c r="H122" s="27">
        <f>(E122*30)+G122</f>
        <v>0</v>
      </c>
      <c r="I122" s="45">
        <f t="shared" si="6"/>
        <v>0</v>
      </c>
    </row>
    <row r="123" spans="1:9">
      <c r="A123" s="30">
        <v>14321</v>
      </c>
      <c r="B123" s="22" t="s">
        <v>125</v>
      </c>
      <c r="C123" s="23">
        <v>121.94</v>
      </c>
      <c r="D123" s="24">
        <f>(C123/2000)</f>
        <v>6.0970000000000003E-2</v>
      </c>
      <c r="E123" s="25">
        <v>1</v>
      </c>
      <c r="F123" s="29"/>
      <c r="G123" s="28">
        <v>800</v>
      </c>
      <c r="H123" s="27">
        <f>(E123*2000)+(F123*50)+G123</f>
        <v>2800</v>
      </c>
      <c r="I123" s="45">
        <f t="shared" si="6"/>
        <v>170.71600000000001</v>
      </c>
    </row>
    <row r="124" spans="1:9">
      <c r="A124" s="30">
        <v>14321</v>
      </c>
      <c r="B124" s="22" t="s">
        <v>126</v>
      </c>
      <c r="C124" s="23">
        <v>119.07</v>
      </c>
      <c r="D124" s="24">
        <f>(C124/2000)</f>
        <v>5.9534999999999998E-2</v>
      </c>
      <c r="E124" s="25">
        <v>1</v>
      </c>
      <c r="F124" s="32"/>
      <c r="G124" s="28">
        <v>1000</v>
      </c>
      <c r="H124" s="27">
        <f>(E124*2000)+G124</f>
        <v>3000</v>
      </c>
      <c r="I124" s="45"/>
    </row>
    <row r="125" spans="1:9">
      <c r="A125" s="30">
        <v>31897</v>
      </c>
      <c r="B125" s="22" t="s">
        <v>127</v>
      </c>
      <c r="C125" s="23">
        <v>89.67</v>
      </c>
      <c r="D125" s="24">
        <f>(C125/350)</f>
        <v>0.25619999999999998</v>
      </c>
      <c r="E125" s="25">
        <v>1</v>
      </c>
      <c r="F125" s="28"/>
      <c r="G125" s="28">
        <v>414</v>
      </c>
      <c r="H125" s="27">
        <f>(E125*350)+(F125*50)+G125</f>
        <v>764</v>
      </c>
      <c r="I125" s="45">
        <f t="shared" ref="I125:I163" si="9">H125*D125</f>
        <v>195.73679999999999</v>
      </c>
    </row>
    <row r="126" spans="1:9">
      <c r="A126" s="30">
        <v>24016</v>
      </c>
      <c r="B126" s="22" t="s">
        <v>128</v>
      </c>
      <c r="C126" s="23">
        <v>96.28</v>
      </c>
      <c r="D126" s="24">
        <f>(C126/600)</f>
        <v>0.16046666666666701</v>
      </c>
      <c r="E126" s="25"/>
      <c r="F126" s="28"/>
      <c r="G126" s="28">
        <v>136</v>
      </c>
      <c r="H126" s="27">
        <f>(E126*600)+(F126*50)+G126</f>
        <v>136</v>
      </c>
      <c r="I126" s="45">
        <f t="shared" si="9"/>
        <v>21.8234666666667</v>
      </c>
    </row>
    <row r="127" spans="1:9">
      <c r="A127" s="30">
        <v>24016</v>
      </c>
      <c r="B127" s="22" t="s">
        <v>129</v>
      </c>
      <c r="C127" s="23">
        <v>40.909999999999997</v>
      </c>
      <c r="D127" s="24">
        <f>(C127/1000)</f>
        <v>4.0910000000000002E-2</v>
      </c>
      <c r="E127" s="25">
        <v>1</v>
      </c>
      <c r="F127" s="28"/>
      <c r="G127" s="28"/>
      <c r="H127" s="27">
        <f>(E127*1000)+G127</f>
        <v>1000</v>
      </c>
      <c r="I127" s="45">
        <f t="shared" si="9"/>
        <v>40.909999999999997</v>
      </c>
    </row>
    <row r="128" spans="1:9">
      <c r="A128" s="30">
        <v>31896</v>
      </c>
      <c r="B128" s="22" t="s">
        <v>130</v>
      </c>
      <c r="C128" s="34">
        <v>122.77</v>
      </c>
      <c r="D128" s="24">
        <f>(C128/2400)</f>
        <v>5.1154166666666702E-2</v>
      </c>
      <c r="E128" s="25">
        <v>1</v>
      </c>
      <c r="F128" s="29"/>
      <c r="G128" s="28">
        <v>500</v>
      </c>
      <c r="H128" s="27">
        <f>(E128*2400)+(F128*50)+G128</f>
        <v>2900</v>
      </c>
      <c r="I128" s="45">
        <f t="shared" si="9"/>
        <v>148.34708333333299</v>
      </c>
    </row>
    <row r="129" spans="1:9">
      <c r="A129" s="30">
        <v>31896</v>
      </c>
      <c r="B129" s="22" t="s">
        <v>131</v>
      </c>
      <c r="C129" s="23">
        <v>102.66</v>
      </c>
      <c r="D129" s="24">
        <f>(C129/5400)</f>
        <v>1.90111111111111E-2</v>
      </c>
      <c r="E129" s="25">
        <v>1</v>
      </c>
      <c r="F129" s="28">
        <v>5</v>
      </c>
      <c r="G129" s="32"/>
      <c r="H129" s="27">
        <f>(E129*5400)+(F129*50)+G129</f>
        <v>5650</v>
      </c>
      <c r="I129" s="45">
        <f t="shared" si="9"/>
        <v>107.412777777778</v>
      </c>
    </row>
    <row r="130" spans="1:9">
      <c r="A130" s="30">
        <v>32678</v>
      </c>
      <c r="B130" s="22" t="s">
        <v>132</v>
      </c>
      <c r="C130" s="34">
        <v>69.84</v>
      </c>
      <c r="D130" s="24">
        <f>(C130/5000)</f>
        <v>1.3968E-2</v>
      </c>
      <c r="E130" s="25"/>
      <c r="F130" s="28">
        <v>25</v>
      </c>
      <c r="G130" s="32"/>
      <c r="H130" s="27">
        <f>(E130*5000)+(F130*50)+G130</f>
        <v>1250</v>
      </c>
      <c r="I130" s="45">
        <f t="shared" si="9"/>
        <v>17.46</v>
      </c>
    </row>
    <row r="131" spans="1:9">
      <c r="A131" s="30">
        <v>37974</v>
      </c>
      <c r="B131" s="22" t="s">
        <v>133</v>
      </c>
      <c r="C131" s="23">
        <v>198.03</v>
      </c>
      <c r="D131" s="24">
        <f>(C131/400)</f>
        <v>0.49507499999999999</v>
      </c>
      <c r="E131" s="25"/>
      <c r="F131" s="29"/>
      <c r="G131" s="28"/>
      <c r="H131" s="27">
        <f>(E131*400)+(F131*50)+G131</f>
        <v>0</v>
      </c>
      <c r="I131" s="45">
        <f t="shared" si="9"/>
        <v>0</v>
      </c>
    </row>
    <row r="132" spans="1:9">
      <c r="A132" s="30">
        <v>30413</v>
      </c>
      <c r="B132" s="22" t="s">
        <v>134</v>
      </c>
      <c r="C132" s="23">
        <v>183.1</v>
      </c>
      <c r="D132" s="24">
        <f t="shared" ref="D132:D138" si="10">(C132/3000)</f>
        <v>6.1033333333333301E-2</v>
      </c>
      <c r="E132" s="25">
        <v>1</v>
      </c>
      <c r="F132" s="32"/>
      <c r="G132" s="28">
        <v>2000</v>
      </c>
      <c r="H132" s="27">
        <f t="shared" ref="H132:H137" si="11">(E132*3000)+(F132*500)+G132</f>
        <v>5000</v>
      </c>
      <c r="I132" s="45">
        <f t="shared" si="9"/>
        <v>305.16666666666703</v>
      </c>
    </row>
    <row r="133" spans="1:9">
      <c r="A133" s="30">
        <v>29842</v>
      </c>
      <c r="B133" s="22" t="s">
        <v>135</v>
      </c>
      <c r="C133" s="34">
        <v>227.63</v>
      </c>
      <c r="D133" s="24">
        <f t="shared" si="10"/>
        <v>7.5876666666666703E-2</v>
      </c>
      <c r="E133" s="25">
        <v>2</v>
      </c>
      <c r="F133" s="29"/>
      <c r="G133" s="28">
        <v>1000</v>
      </c>
      <c r="H133" s="27">
        <f t="shared" si="11"/>
        <v>7000</v>
      </c>
      <c r="I133" s="45">
        <f t="shared" si="9"/>
        <v>531.136666666667</v>
      </c>
    </row>
    <row r="134" spans="1:9">
      <c r="A134" s="30">
        <v>9241</v>
      </c>
      <c r="B134" s="22" t="s">
        <v>136</v>
      </c>
      <c r="C134" s="23">
        <v>180.48</v>
      </c>
      <c r="D134" s="24">
        <f t="shared" si="10"/>
        <v>6.0159999999999998E-2</v>
      </c>
      <c r="E134" s="25">
        <v>1</v>
      </c>
      <c r="F134" s="29"/>
      <c r="G134" s="28">
        <v>600</v>
      </c>
      <c r="H134" s="27">
        <f t="shared" si="11"/>
        <v>3600</v>
      </c>
      <c r="I134" s="45">
        <f t="shared" si="9"/>
        <v>216.57599999999999</v>
      </c>
    </row>
    <row r="135" spans="1:9">
      <c r="A135" s="30">
        <v>3043</v>
      </c>
      <c r="B135" s="22" t="s">
        <v>137</v>
      </c>
      <c r="C135" s="23">
        <v>271.52</v>
      </c>
      <c r="D135" s="24">
        <f t="shared" si="10"/>
        <v>9.0506666666666694E-2</v>
      </c>
      <c r="E135" s="25">
        <v>1</v>
      </c>
      <c r="F135" s="29">
        <v>5</v>
      </c>
      <c r="G135" s="28"/>
      <c r="H135" s="27">
        <f t="shared" si="11"/>
        <v>5500</v>
      </c>
      <c r="I135" s="45">
        <f t="shared" si="9"/>
        <v>497.78666666666697</v>
      </c>
    </row>
    <row r="136" spans="1:9">
      <c r="A136" s="30">
        <v>31886</v>
      </c>
      <c r="B136" s="22" t="s">
        <v>138</v>
      </c>
      <c r="C136" s="23">
        <v>215.13</v>
      </c>
      <c r="D136" s="24">
        <f t="shared" si="10"/>
        <v>7.1709999999999996E-2</v>
      </c>
      <c r="E136" s="25">
        <v>2</v>
      </c>
      <c r="F136" s="29"/>
      <c r="G136" s="28">
        <v>1100</v>
      </c>
      <c r="H136" s="27">
        <f t="shared" si="11"/>
        <v>7100</v>
      </c>
      <c r="I136" s="45">
        <f t="shared" si="9"/>
        <v>509.14100000000002</v>
      </c>
    </row>
    <row r="137" spans="1:9">
      <c r="A137" s="30">
        <v>25997</v>
      </c>
      <c r="B137" s="22" t="s">
        <v>139</v>
      </c>
      <c r="C137" s="23">
        <v>230.7</v>
      </c>
      <c r="D137" s="24">
        <f t="shared" si="10"/>
        <v>7.6899999999999996E-2</v>
      </c>
      <c r="E137" s="25">
        <v>1</v>
      </c>
      <c r="F137" s="29"/>
      <c r="G137" s="28">
        <v>1000</v>
      </c>
      <c r="H137" s="27">
        <f t="shared" si="11"/>
        <v>4000</v>
      </c>
      <c r="I137" s="45">
        <f t="shared" si="9"/>
        <v>307.60000000000002</v>
      </c>
    </row>
    <row r="138" spans="1:9">
      <c r="A138" s="30">
        <v>31544</v>
      </c>
      <c r="B138" s="22" t="s">
        <v>140</v>
      </c>
      <c r="C138" s="34">
        <v>209.92</v>
      </c>
      <c r="D138" s="24">
        <f t="shared" si="10"/>
        <v>6.9973333333333304E-2</v>
      </c>
      <c r="E138" s="25">
        <v>3</v>
      </c>
      <c r="F138" s="29"/>
      <c r="G138" s="28"/>
      <c r="H138" s="27">
        <f>(E138*3000)+(F138*50)+G138</f>
        <v>9000</v>
      </c>
      <c r="I138" s="45">
        <f t="shared" si="9"/>
        <v>629.76</v>
      </c>
    </row>
    <row r="139" spans="1:9">
      <c r="A139" s="30">
        <v>31543</v>
      </c>
      <c r="B139" s="22" t="s">
        <v>141</v>
      </c>
      <c r="C139" s="23">
        <v>53.66</v>
      </c>
      <c r="D139" s="24">
        <f>(C139/12)</f>
        <v>4.4716666666666702</v>
      </c>
      <c r="E139" s="25">
        <v>3</v>
      </c>
      <c r="F139" s="32"/>
      <c r="G139" s="28"/>
      <c r="H139" s="27">
        <f>(E139*12)+G139</f>
        <v>36</v>
      </c>
      <c r="I139" s="45">
        <f t="shared" si="9"/>
        <v>160.97999999999999</v>
      </c>
    </row>
    <row r="140" spans="1:9">
      <c r="A140" s="30">
        <v>32605</v>
      </c>
      <c r="B140" s="22" t="s">
        <v>142</v>
      </c>
      <c r="C140" s="34">
        <v>11.67</v>
      </c>
      <c r="D140" s="24">
        <f>(C140/100)</f>
        <v>0.1167</v>
      </c>
      <c r="E140" s="25">
        <v>1</v>
      </c>
      <c r="F140" s="29">
        <v>44</v>
      </c>
      <c r="G140" s="28"/>
      <c r="H140" s="27">
        <f>(E140*100)+(F140*50)+G140</f>
        <v>2300</v>
      </c>
      <c r="I140" s="45">
        <f t="shared" si="9"/>
        <v>268.41000000000003</v>
      </c>
    </row>
    <row r="141" spans="1:9">
      <c r="A141" s="30">
        <v>36086</v>
      </c>
      <c r="B141" s="22" t="s">
        <v>143</v>
      </c>
      <c r="C141" s="23">
        <v>2.61</v>
      </c>
      <c r="D141" s="24">
        <f>(C141/100)</f>
        <v>2.6100000000000002E-2</v>
      </c>
      <c r="E141" s="25">
        <v>1</v>
      </c>
      <c r="F141" s="32"/>
      <c r="G141" s="28"/>
      <c r="H141" s="27">
        <f>(E141*100)+G141</f>
        <v>100</v>
      </c>
      <c r="I141" s="45">
        <f t="shared" si="9"/>
        <v>2.61</v>
      </c>
    </row>
    <row r="142" spans="1:9">
      <c r="A142" s="30">
        <v>38580</v>
      </c>
      <c r="B142" s="22" t="s">
        <v>144</v>
      </c>
      <c r="C142" s="23">
        <v>2.61</v>
      </c>
      <c r="D142" s="24">
        <f>(C142/100)</f>
        <v>2.6100000000000002E-2</v>
      </c>
      <c r="E142" s="25">
        <v>1</v>
      </c>
      <c r="F142" s="32"/>
      <c r="G142" s="28"/>
      <c r="H142" s="27">
        <f>(E142*100)+G142</f>
        <v>100</v>
      </c>
      <c r="I142" s="45">
        <f t="shared" si="9"/>
        <v>2.61</v>
      </c>
    </row>
    <row r="143" spans="1:9">
      <c r="A143" s="30">
        <v>24754</v>
      </c>
      <c r="B143" s="22" t="s">
        <v>145</v>
      </c>
      <c r="C143" s="23">
        <v>126.87</v>
      </c>
      <c r="D143" s="24">
        <f>(C143/500)</f>
        <v>0.25374000000000002</v>
      </c>
      <c r="E143" s="25">
        <v>2</v>
      </c>
      <c r="F143" s="29"/>
      <c r="G143" s="28"/>
      <c r="H143" s="27">
        <f>(E143*500)+(F143*50)+G143</f>
        <v>1000</v>
      </c>
      <c r="I143" s="45">
        <f t="shared" si="9"/>
        <v>253.74</v>
      </c>
    </row>
    <row r="144" spans="1:9">
      <c r="A144" s="30"/>
      <c r="B144" s="22" t="s">
        <v>146</v>
      </c>
      <c r="C144" s="23">
        <v>67.47</v>
      </c>
      <c r="D144" s="24">
        <f>(C144/3000)</f>
        <v>2.249E-2</v>
      </c>
      <c r="E144" s="25">
        <v>1</v>
      </c>
      <c r="F144" s="32"/>
      <c r="G144" s="28"/>
      <c r="H144" s="27">
        <f>(E144*3000)+G144</f>
        <v>3000</v>
      </c>
      <c r="I144" s="45">
        <f t="shared" si="9"/>
        <v>67.47</v>
      </c>
    </row>
    <row r="145" spans="1:9">
      <c r="A145" s="30">
        <v>37842</v>
      </c>
      <c r="B145" s="22" t="s">
        <v>147</v>
      </c>
      <c r="C145" s="23">
        <v>47.19</v>
      </c>
      <c r="D145" s="24">
        <f>(C145/1)</f>
        <v>47.19</v>
      </c>
      <c r="E145" s="25">
        <v>3</v>
      </c>
      <c r="F145" s="32"/>
      <c r="G145" s="32"/>
      <c r="H145" s="27">
        <f>(E145*1)</f>
        <v>3</v>
      </c>
      <c r="I145" s="45">
        <f t="shared" si="9"/>
        <v>141.57</v>
      </c>
    </row>
    <row r="146" spans="1:9">
      <c r="A146" s="30">
        <v>38528</v>
      </c>
      <c r="B146" s="22" t="s">
        <v>148</v>
      </c>
      <c r="C146" s="23">
        <v>91.87</v>
      </c>
      <c r="D146" s="24">
        <f>(C146/370)</f>
        <v>0.24829729729729699</v>
      </c>
      <c r="E146" s="25">
        <v>1</v>
      </c>
      <c r="F146" s="29"/>
      <c r="G146" s="28">
        <v>270</v>
      </c>
      <c r="H146" s="27">
        <f>(E146*370)+(F146*50)+G146</f>
        <v>640</v>
      </c>
      <c r="I146" s="45">
        <f t="shared" si="9"/>
        <v>158.91027027026999</v>
      </c>
    </row>
    <row r="147" spans="1:9">
      <c r="A147" s="30">
        <v>15031</v>
      </c>
      <c r="B147" s="22" t="s">
        <v>149</v>
      </c>
      <c r="C147" s="23">
        <v>57.35</v>
      </c>
      <c r="D147" s="24">
        <f>(C147/5)</f>
        <v>11.47</v>
      </c>
      <c r="E147" s="25">
        <v>1</v>
      </c>
      <c r="F147" s="32"/>
      <c r="G147" s="28">
        <v>50</v>
      </c>
      <c r="H147" s="27">
        <f>(E147*5)+G147</f>
        <v>55</v>
      </c>
      <c r="I147" s="45">
        <f t="shared" si="9"/>
        <v>630.85</v>
      </c>
    </row>
    <row r="148" spans="1:9">
      <c r="A148" s="30"/>
      <c r="B148" s="22" t="s">
        <v>150</v>
      </c>
      <c r="C148" s="23">
        <v>39.44</v>
      </c>
      <c r="D148" s="24">
        <f>(C148/100)</f>
        <v>0.39439999999999997</v>
      </c>
      <c r="E148" s="25">
        <v>1</v>
      </c>
      <c r="F148" s="32"/>
      <c r="G148" s="28"/>
      <c r="H148" s="27">
        <f>(E148*100)+G148</f>
        <v>100</v>
      </c>
      <c r="I148" s="45">
        <f t="shared" si="9"/>
        <v>39.44</v>
      </c>
    </row>
    <row r="149" spans="1:9">
      <c r="A149" s="30">
        <v>9266</v>
      </c>
      <c r="B149" s="22" t="s">
        <v>151</v>
      </c>
      <c r="C149" s="34">
        <v>63.49</v>
      </c>
      <c r="D149" s="24">
        <f>(C149/1000)</f>
        <v>6.3490000000000005E-2</v>
      </c>
      <c r="E149" s="25">
        <v>1</v>
      </c>
      <c r="F149" s="29"/>
      <c r="G149" s="28">
        <v>210</v>
      </c>
      <c r="H149" s="27">
        <f>(E149*1000)+(F149*50)+G149</f>
        <v>1210</v>
      </c>
      <c r="I149" s="45">
        <f t="shared" si="9"/>
        <v>76.822900000000004</v>
      </c>
    </row>
    <row r="150" spans="1:9">
      <c r="A150" s="30">
        <v>35211</v>
      </c>
      <c r="B150" s="22" t="s">
        <v>152</v>
      </c>
      <c r="C150" s="34">
        <v>45.27</v>
      </c>
      <c r="D150" s="24">
        <f>(C150/100)</f>
        <v>0.45269999999999999</v>
      </c>
      <c r="E150" s="25">
        <v>2</v>
      </c>
      <c r="F150" s="32"/>
      <c r="G150" s="28">
        <v>50</v>
      </c>
      <c r="H150" s="27">
        <f>(E150*100)+G150</f>
        <v>250</v>
      </c>
      <c r="I150" s="45">
        <f t="shared" si="9"/>
        <v>113.175</v>
      </c>
    </row>
    <row r="151" spans="1:9">
      <c r="A151" s="30">
        <v>25299</v>
      </c>
      <c r="B151" s="22" t="s">
        <v>153</v>
      </c>
      <c r="C151" s="23">
        <v>178.62</v>
      </c>
      <c r="D151" s="24">
        <f>(C151/1000)</f>
        <v>0.17862</v>
      </c>
      <c r="E151" s="25">
        <v>1</v>
      </c>
      <c r="F151" s="28"/>
      <c r="G151" s="28"/>
      <c r="H151" s="27">
        <f>(E151*1000)+(F151*50)+G151</f>
        <v>1000</v>
      </c>
      <c r="I151" s="45">
        <f t="shared" si="9"/>
        <v>178.62</v>
      </c>
    </row>
    <row r="152" spans="1:9">
      <c r="A152" s="30">
        <v>36063</v>
      </c>
      <c r="B152" s="22" t="s">
        <v>154</v>
      </c>
      <c r="C152" s="37">
        <v>175.05</v>
      </c>
      <c r="D152" s="24">
        <f>(C152/1000)</f>
        <v>0.17505000000000001</v>
      </c>
      <c r="E152" s="25">
        <v>1</v>
      </c>
      <c r="F152" s="32"/>
      <c r="G152" s="28"/>
      <c r="H152" s="27">
        <f>(E152*1000)+G152</f>
        <v>1000</v>
      </c>
      <c r="I152" s="45">
        <f t="shared" si="9"/>
        <v>175.05</v>
      </c>
    </row>
    <row r="153" spans="1:9">
      <c r="A153" s="30">
        <v>4327</v>
      </c>
      <c r="B153" s="22" t="s">
        <v>155</v>
      </c>
      <c r="C153" s="23">
        <v>175.5</v>
      </c>
      <c r="D153" s="24">
        <f>(C153/1000)</f>
        <v>0.17549999999999999</v>
      </c>
      <c r="E153" s="25">
        <v>1</v>
      </c>
      <c r="F153" s="32"/>
      <c r="G153" s="28">
        <v>20</v>
      </c>
      <c r="H153" s="27">
        <f>(E153*1000)+G153</f>
        <v>1020</v>
      </c>
      <c r="I153" s="45">
        <f t="shared" si="9"/>
        <v>179.01</v>
      </c>
    </row>
    <row r="154" spans="1:9">
      <c r="A154" s="30">
        <v>4326</v>
      </c>
      <c r="B154" s="22" t="s">
        <v>156</v>
      </c>
      <c r="C154" s="23">
        <v>140.82</v>
      </c>
      <c r="D154" s="24">
        <f>(C154/1000)</f>
        <v>0.14082</v>
      </c>
      <c r="E154" s="25">
        <v>1</v>
      </c>
      <c r="F154" s="32"/>
      <c r="G154" s="28">
        <v>20</v>
      </c>
      <c r="H154" s="27">
        <f>(E154*1000)+G154</f>
        <v>1020</v>
      </c>
      <c r="I154" s="45">
        <f t="shared" si="9"/>
        <v>143.63640000000001</v>
      </c>
    </row>
    <row r="155" spans="1:9">
      <c r="A155" s="30">
        <v>4333</v>
      </c>
      <c r="B155" s="22" t="s">
        <v>157</v>
      </c>
      <c r="C155" s="23">
        <v>144.16999999999999</v>
      </c>
      <c r="D155" s="24">
        <f>(C155/500)</f>
        <v>0.28833999999999999</v>
      </c>
      <c r="E155" s="25">
        <v>1</v>
      </c>
      <c r="F155" s="32"/>
      <c r="G155" s="28"/>
      <c r="H155" s="27">
        <f>(E155*500)+G155</f>
        <v>500</v>
      </c>
      <c r="I155" s="45">
        <f t="shared" si="9"/>
        <v>144.16999999999999</v>
      </c>
    </row>
    <row r="156" spans="1:9">
      <c r="A156" s="30">
        <v>4329</v>
      </c>
      <c r="B156" s="22" t="s">
        <v>158</v>
      </c>
      <c r="C156" s="23">
        <v>208.86</v>
      </c>
      <c r="D156" s="24">
        <f>(C156/6000)</f>
        <v>3.4810000000000001E-2</v>
      </c>
      <c r="E156" s="25">
        <v>2</v>
      </c>
      <c r="F156" s="28"/>
      <c r="G156" s="28">
        <v>3200</v>
      </c>
      <c r="H156" s="27">
        <f>(E156*6000)+(F156*50)+G156</f>
        <v>15200</v>
      </c>
      <c r="I156" s="45">
        <f t="shared" si="9"/>
        <v>529.11199999999997</v>
      </c>
    </row>
    <row r="157" spans="1:9">
      <c r="A157" s="30">
        <v>4331</v>
      </c>
      <c r="B157" s="22" t="s">
        <v>159</v>
      </c>
      <c r="C157" s="23">
        <v>240.24</v>
      </c>
      <c r="D157" s="24">
        <f>(C157/1000)</f>
        <v>0.24024000000000001</v>
      </c>
      <c r="E157" s="25">
        <v>1</v>
      </c>
      <c r="F157" s="29"/>
      <c r="G157" s="28">
        <v>40</v>
      </c>
      <c r="H157" s="27">
        <f>(E157*1000)+(F157*50)+G157</f>
        <v>1040</v>
      </c>
      <c r="I157" s="45">
        <f t="shared" si="9"/>
        <v>249.84960000000001</v>
      </c>
    </row>
    <row r="158" spans="1:9">
      <c r="A158" s="30">
        <v>4328</v>
      </c>
      <c r="B158" s="22" t="s">
        <v>160</v>
      </c>
      <c r="C158" s="23">
        <v>95.86</v>
      </c>
      <c r="D158" s="24">
        <f>(C158/350)</f>
        <v>0.27388571428571401</v>
      </c>
      <c r="E158" s="25">
        <v>1</v>
      </c>
      <c r="F158" s="29"/>
      <c r="G158" s="28">
        <v>48</v>
      </c>
      <c r="H158" s="27">
        <f>(E158*350)+(F158*50)+G158</f>
        <v>398</v>
      </c>
      <c r="I158" s="45">
        <f t="shared" si="9"/>
        <v>109.006514285714</v>
      </c>
    </row>
    <row r="159" spans="1:9">
      <c r="A159" s="30">
        <v>4330</v>
      </c>
      <c r="B159" s="22" t="s">
        <v>161</v>
      </c>
      <c r="C159" s="23">
        <v>68.319999999999993</v>
      </c>
      <c r="D159" s="24">
        <f>(C159/350)</f>
        <v>0.19520000000000001</v>
      </c>
      <c r="E159" s="25">
        <v>1</v>
      </c>
      <c r="F159" s="29"/>
      <c r="G159" s="28">
        <v>408</v>
      </c>
      <c r="H159" s="27">
        <f>(E159*350)+(F159*50)+G159</f>
        <v>758</v>
      </c>
      <c r="I159" s="45">
        <f t="shared" si="9"/>
        <v>147.9616</v>
      </c>
    </row>
    <row r="160" spans="1:9">
      <c r="A160" s="30">
        <v>24452</v>
      </c>
      <c r="B160" s="22" t="s">
        <v>162</v>
      </c>
      <c r="C160" s="23">
        <v>191.81</v>
      </c>
      <c r="D160" s="24">
        <f>(C160/1800)</f>
        <v>0.106561111111111</v>
      </c>
      <c r="E160" s="25">
        <v>1</v>
      </c>
      <c r="F160" s="29">
        <v>14</v>
      </c>
      <c r="G160" s="28"/>
      <c r="H160" s="27">
        <f>(E160*1800)+(F160*50)+G160</f>
        <v>2500</v>
      </c>
      <c r="I160" s="45">
        <f t="shared" si="9"/>
        <v>266.40277777777698</v>
      </c>
    </row>
    <row r="161" spans="1:9">
      <c r="A161" s="30">
        <v>24453</v>
      </c>
      <c r="B161" s="22" t="s">
        <v>163</v>
      </c>
      <c r="C161" s="23">
        <v>141.84</v>
      </c>
      <c r="D161" s="24">
        <f>(C161/900)</f>
        <v>0.15759999999999999</v>
      </c>
      <c r="E161" s="25">
        <v>2</v>
      </c>
      <c r="F161" s="28">
        <v>7</v>
      </c>
      <c r="G161" s="28"/>
      <c r="H161" s="27">
        <f>(E161*900)+(F161*100)+G161</f>
        <v>2500</v>
      </c>
      <c r="I161" s="45">
        <f t="shared" si="9"/>
        <v>394</v>
      </c>
    </row>
    <row r="162" spans="1:9">
      <c r="A162" s="30"/>
      <c r="B162" s="22" t="s">
        <v>164</v>
      </c>
      <c r="C162" s="23">
        <v>112.24</v>
      </c>
      <c r="D162" s="24">
        <f>(C162/1200)</f>
        <v>9.3533333333333302E-2</v>
      </c>
      <c r="E162" s="25">
        <v>1</v>
      </c>
      <c r="F162" s="28"/>
      <c r="G162" s="28">
        <v>200</v>
      </c>
      <c r="H162" s="47">
        <f>(E162*1200)+(F162*100)+G162</f>
        <v>1400</v>
      </c>
      <c r="I162" s="45">
        <f t="shared" si="9"/>
        <v>130.946666666667</v>
      </c>
    </row>
    <row r="163" spans="1:9">
      <c r="C163" s="23"/>
      <c r="D163" s="24"/>
      <c r="E163" s="25"/>
      <c r="F163" s="28"/>
      <c r="G163" s="28"/>
      <c r="H163" s="47"/>
      <c r="I163" s="45">
        <f t="shared" si="9"/>
        <v>0</v>
      </c>
    </row>
    <row r="164" spans="1:9">
      <c r="A164" s="15"/>
      <c r="B164" s="14" t="s">
        <v>165</v>
      </c>
      <c r="C164" s="38"/>
      <c r="D164" s="39"/>
      <c r="E164" s="42"/>
      <c r="F164" s="48"/>
      <c r="G164" s="41"/>
      <c r="H164" s="51">
        <f>(E164*8)+G164</f>
        <v>0</v>
      </c>
      <c r="I164" s="41"/>
    </row>
    <row r="165" spans="1:9">
      <c r="A165" s="30">
        <v>31883</v>
      </c>
      <c r="B165" s="22" t="s">
        <v>166</v>
      </c>
      <c r="C165" s="23">
        <v>161.86000000000001</v>
      </c>
      <c r="D165" s="24">
        <f>(C165/8)</f>
        <v>20.232500000000002</v>
      </c>
      <c r="E165" s="25">
        <v>1</v>
      </c>
      <c r="F165" s="32"/>
      <c r="G165" s="28">
        <v>6</v>
      </c>
      <c r="H165" s="27">
        <f>(E165*8)+G165</f>
        <v>14</v>
      </c>
      <c r="I165" s="45">
        <f t="shared" ref="I165:I179" si="12">H165*D165</f>
        <v>283.255</v>
      </c>
    </row>
    <row r="166" spans="1:9">
      <c r="A166" s="30">
        <v>3623</v>
      </c>
      <c r="B166" s="22" t="s">
        <v>167</v>
      </c>
      <c r="C166" s="23">
        <v>216.62</v>
      </c>
      <c r="D166" s="24">
        <f>(C166/48)</f>
        <v>4.51291666666667</v>
      </c>
      <c r="E166" s="25">
        <v>2</v>
      </c>
      <c r="F166" s="32"/>
      <c r="G166" s="29"/>
      <c r="H166" s="27">
        <f>(E166*48)+G166</f>
        <v>96</v>
      </c>
      <c r="I166" s="45">
        <f t="shared" si="12"/>
        <v>433.24</v>
      </c>
    </row>
    <row r="167" spans="1:9">
      <c r="A167" s="30">
        <v>31887</v>
      </c>
      <c r="B167" s="22" t="s">
        <v>168</v>
      </c>
      <c r="C167" s="23">
        <v>102.56</v>
      </c>
      <c r="D167" s="24">
        <f>(C167/6)</f>
        <v>17.093333333333302</v>
      </c>
      <c r="E167" s="25">
        <v>1</v>
      </c>
      <c r="F167" s="32"/>
      <c r="G167" s="28">
        <v>2</v>
      </c>
      <c r="H167" s="27">
        <f>(E167*6)+(F167*350)</f>
        <v>6</v>
      </c>
      <c r="I167" s="45">
        <f t="shared" si="12"/>
        <v>102.56</v>
      </c>
    </row>
    <row r="168" spans="1:9">
      <c r="A168" s="30">
        <v>31888</v>
      </c>
      <c r="B168" s="22" t="s">
        <v>169</v>
      </c>
      <c r="C168" s="23">
        <v>120.32</v>
      </c>
      <c r="D168" s="24">
        <f>(C168/24)</f>
        <v>5.0133333333333301</v>
      </c>
      <c r="E168" s="25"/>
      <c r="F168" s="29"/>
      <c r="G168" s="32"/>
      <c r="H168" s="27">
        <f>(E168*24)+(F168*50)</f>
        <v>0</v>
      </c>
      <c r="I168" s="45">
        <f t="shared" si="12"/>
        <v>0</v>
      </c>
    </row>
    <row r="169" spans="1:9">
      <c r="A169" s="30">
        <v>38480</v>
      </c>
      <c r="B169" s="22" t="s">
        <v>170</v>
      </c>
      <c r="C169" s="23">
        <v>28.43</v>
      </c>
      <c r="D169" s="24">
        <f>(C169/100)</f>
        <v>0.2843</v>
      </c>
      <c r="E169" s="25">
        <v>2</v>
      </c>
      <c r="F169" s="32"/>
      <c r="G169" s="28">
        <v>20</v>
      </c>
      <c r="H169" s="27">
        <f>(E169*100)+G169</f>
        <v>220</v>
      </c>
      <c r="I169" s="45">
        <f t="shared" si="12"/>
        <v>62.545999999999999</v>
      </c>
    </row>
    <row r="170" spans="1:9">
      <c r="A170" s="30">
        <v>38481</v>
      </c>
      <c r="B170" s="22" t="s">
        <v>171</v>
      </c>
      <c r="C170" s="23">
        <v>75.239999999999995</v>
      </c>
      <c r="D170" s="24">
        <f>(C170/100)</f>
        <v>0.75239999999999996</v>
      </c>
      <c r="E170" s="25">
        <v>1</v>
      </c>
      <c r="F170" s="32"/>
      <c r="G170" s="28"/>
      <c r="H170" s="27">
        <f>(E170*100)+G170</f>
        <v>100</v>
      </c>
      <c r="I170" s="45">
        <f t="shared" si="12"/>
        <v>75.239999999999995</v>
      </c>
    </row>
    <row r="171" spans="1:9">
      <c r="A171" s="30">
        <v>38482</v>
      </c>
      <c r="B171" s="22" t="s">
        <v>172</v>
      </c>
      <c r="C171" s="23">
        <v>77.77</v>
      </c>
      <c r="D171" s="24">
        <f>(C171/100)</f>
        <v>0.77769999999999995</v>
      </c>
      <c r="E171" s="25"/>
      <c r="F171" s="32"/>
      <c r="G171" s="28">
        <v>36</v>
      </c>
      <c r="H171" s="27">
        <f>(E171*100)+G171</f>
        <v>36</v>
      </c>
      <c r="I171" s="45">
        <f t="shared" si="12"/>
        <v>27.997199999999999</v>
      </c>
    </row>
    <row r="172" spans="1:9">
      <c r="A172" s="30"/>
      <c r="B172" s="52" t="s">
        <v>173</v>
      </c>
      <c r="C172" s="23">
        <v>147.59</v>
      </c>
      <c r="D172" s="24">
        <f>(C172/5)</f>
        <v>29.518000000000001</v>
      </c>
      <c r="E172" s="25">
        <v>1</v>
      </c>
      <c r="F172" s="32"/>
      <c r="G172" s="28">
        <v>1</v>
      </c>
      <c r="H172" s="27">
        <f>(E172*5)+G172</f>
        <v>6</v>
      </c>
      <c r="I172" s="45">
        <f t="shared" si="12"/>
        <v>177.108</v>
      </c>
    </row>
    <row r="173" spans="1:9">
      <c r="A173" s="30">
        <v>23119</v>
      </c>
      <c r="B173" s="22" t="s">
        <v>174</v>
      </c>
      <c r="C173" s="23">
        <v>36.090000000000003</v>
      </c>
      <c r="D173" s="24">
        <f>(C173/100)</f>
        <v>0.3609</v>
      </c>
      <c r="E173" s="25"/>
      <c r="F173" s="32"/>
      <c r="G173" s="28">
        <v>10</v>
      </c>
      <c r="H173" s="27">
        <f>(E173*100)+G173</f>
        <v>10</v>
      </c>
      <c r="I173" s="45">
        <f t="shared" si="12"/>
        <v>3.609</v>
      </c>
    </row>
    <row r="174" spans="1:9">
      <c r="A174" s="30">
        <v>32906</v>
      </c>
      <c r="B174" s="22" t="s">
        <v>175</v>
      </c>
      <c r="C174" s="34">
        <v>30.76</v>
      </c>
      <c r="D174" s="24">
        <f>(C174/120)</f>
        <v>0.25633333333333302</v>
      </c>
      <c r="E174" s="25"/>
      <c r="F174" s="32"/>
      <c r="G174" s="28"/>
      <c r="H174" s="27">
        <f>(E174*120)+G174</f>
        <v>0</v>
      </c>
      <c r="I174" s="45">
        <f t="shared" si="12"/>
        <v>0</v>
      </c>
    </row>
    <row r="175" spans="1:9">
      <c r="A175" s="30">
        <v>32909</v>
      </c>
      <c r="B175" s="22" t="s">
        <v>176</v>
      </c>
      <c r="C175" s="34">
        <v>30.75</v>
      </c>
      <c r="D175" s="24">
        <f>(C175/48)</f>
        <v>0.640625</v>
      </c>
      <c r="E175" s="25"/>
      <c r="F175" s="32"/>
      <c r="G175" s="28"/>
      <c r="H175" s="27">
        <f>(E175*120)+G175</f>
        <v>0</v>
      </c>
      <c r="I175" s="45">
        <f t="shared" si="12"/>
        <v>0</v>
      </c>
    </row>
    <row r="176" spans="1:9">
      <c r="A176" s="30">
        <v>34932</v>
      </c>
      <c r="B176" s="22" t="s">
        <v>177</v>
      </c>
      <c r="C176" s="34">
        <v>30.75</v>
      </c>
      <c r="D176" s="24">
        <f>(C176/120)</f>
        <v>0.25624999999999998</v>
      </c>
      <c r="E176" s="25"/>
      <c r="F176" s="32"/>
      <c r="G176" s="28"/>
      <c r="H176" s="27">
        <f>(E176*120)+G176</f>
        <v>0</v>
      </c>
      <c r="I176" s="45">
        <f t="shared" si="12"/>
        <v>0</v>
      </c>
    </row>
    <row r="177" spans="1:9">
      <c r="A177" s="30">
        <v>34933</v>
      </c>
      <c r="B177" s="22" t="s">
        <v>178</v>
      </c>
      <c r="C177" s="34">
        <v>30.75</v>
      </c>
      <c r="D177" s="24">
        <f>(C177/120)</f>
        <v>0.25624999999999998</v>
      </c>
      <c r="E177" s="25"/>
      <c r="F177" s="32"/>
      <c r="G177" s="28"/>
      <c r="H177" s="27">
        <f>(E177*120)+G177</f>
        <v>0</v>
      </c>
      <c r="I177" s="45">
        <f t="shared" si="12"/>
        <v>0</v>
      </c>
    </row>
    <row r="178" spans="1:9">
      <c r="A178" s="30"/>
      <c r="B178" s="22" t="s">
        <v>179</v>
      </c>
      <c r="C178" s="34">
        <v>262.95</v>
      </c>
      <c r="D178" s="24">
        <f>C178/1200</f>
        <v>0.21912499999999999</v>
      </c>
      <c r="E178" s="25">
        <v>12</v>
      </c>
      <c r="F178" s="29">
        <v>13</v>
      </c>
      <c r="G178" s="28"/>
      <c r="H178" s="27">
        <f>(E178*1200)+G178</f>
        <v>14400</v>
      </c>
      <c r="I178" s="45">
        <f t="shared" si="12"/>
        <v>3155.4</v>
      </c>
    </row>
    <row r="179" spans="1:9">
      <c r="A179" s="30"/>
      <c r="B179" s="22"/>
      <c r="C179" s="34"/>
      <c r="D179" s="24"/>
      <c r="E179" s="25"/>
      <c r="F179" s="29"/>
      <c r="G179" s="28"/>
      <c r="H179" s="27"/>
      <c r="I179" s="45">
        <f t="shared" si="12"/>
        <v>0</v>
      </c>
    </row>
    <row r="180" spans="1:9">
      <c r="A180" s="15"/>
      <c r="B180" s="14" t="s">
        <v>180</v>
      </c>
      <c r="C180" s="38"/>
      <c r="D180" s="39"/>
      <c r="E180" s="42"/>
      <c r="F180" s="48"/>
      <c r="G180" s="41"/>
      <c r="H180" s="51"/>
      <c r="I180" s="41"/>
    </row>
    <row r="181" spans="1:9">
      <c r="A181" s="30"/>
      <c r="B181" s="22" t="s">
        <v>181</v>
      </c>
      <c r="C181" s="34">
        <v>312.47000000000003</v>
      </c>
      <c r="D181" s="24">
        <f t="shared" ref="D181:D188" si="13">(C181/18)</f>
        <v>17.359444444444399</v>
      </c>
      <c r="E181" s="25">
        <v>1</v>
      </c>
      <c r="F181" s="32"/>
      <c r="G181" s="28"/>
      <c r="H181" s="27">
        <f t="shared" ref="H181:H188" si="14">(E181*18)+G181</f>
        <v>18</v>
      </c>
      <c r="I181" s="45">
        <f t="shared" ref="I181:I194" si="15">H181*D181</f>
        <v>312.47000000000003</v>
      </c>
    </row>
    <row r="182" spans="1:9">
      <c r="A182" s="30"/>
      <c r="B182" s="22" t="s">
        <v>182</v>
      </c>
      <c r="C182" s="34">
        <v>257.75</v>
      </c>
      <c r="D182" s="24">
        <f t="shared" si="13"/>
        <v>14.3194444444444</v>
      </c>
      <c r="E182" s="25"/>
      <c r="F182" s="32"/>
      <c r="G182" s="28"/>
      <c r="H182" s="27">
        <f t="shared" si="14"/>
        <v>0</v>
      </c>
      <c r="I182" s="45">
        <f t="shared" si="15"/>
        <v>0</v>
      </c>
    </row>
    <row r="183" spans="1:9">
      <c r="A183" s="30"/>
      <c r="B183" s="22" t="s">
        <v>183</v>
      </c>
      <c r="C183" s="34">
        <v>257.75</v>
      </c>
      <c r="D183" s="24">
        <f t="shared" si="13"/>
        <v>14.3194444444444</v>
      </c>
      <c r="E183" s="25"/>
      <c r="F183" s="32"/>
      <c r="G183" s="28"/>
      <c r="H183" s="27">
        <f t="shared" si="14"/>
        <v>0</v>
      </c>
      <c r="I183" s="45">
        <f t="shared" si="15"/>
        <v>0</v>
      </c>
    </row>
    <row r="184" spans="1:9">
      <c r="A184" s="30"/>
      <c r="B184" s="22" t="s">
        <v>184</v>
      </c>
      <c r="C184" s="34">
        <v>257.75</v>
      </c>
      <c r="D184" s="24">
        <f t="shared" si="13"/>
        <v>14.3194444444444</v>
      </c>
      <c r="E184" s="25"/>
      <c r="F184" s="32"/>
      <c r="G184" s="28"/>
      <c r="H184" s="27">
        <f t="shared" si="14"/>
        <v>0</v>
      </c>
      <c r="I184" s="45">
        <f t="shared" si="15"/>
        <v>0</v>
      </c>
    </row>
    <row r="185" spans="1:9">
      <c r="A185" s="30"/>
      <c r="B185" s="22" t="s">
        <v>185</v>
      </c>
      <c r="C185" s="34">
        <v>257.75</v>
      </c>
      <c r="D185" s="24">
        <f t="shared" si="13"/>
        <v>14.3194444444444</v>
      </c>
      <c r="E185" s="25"/>
      <c r="F185" s="32"/>
      <c r="G185" s="28"/>
      <c r="H185" s="27">
        <f t="shared" si="14"/>
        <v>0</v>
      </c>
      <c r="I185" s="45">
        <f t="shared" si="15"/>
        <v>0</v>
      </c>
    </row>
    <row r="186" spans="1:9">
      <c r="A186" s="30"/>
      <c r="B186" s="22" t="s">
        <v>186</v>
      </c>
      <c r="C186" s="34">
        <v>257.75</v>
      </c>
      <c r="D186" s="24">
        <f t="shared" si="13"/>
        <v>14.3194444444444</v>
      </c>
      <c r="E186" s="25"/>
      <c r="F186" s="32"/>
      <c r="G186" s="28"/>
      <c r="H186" s="27">
        <f t="shared" si="14"/>
        <v>0</v>
      </c>
      <c r="I186" s="45">
        <f t="shared" si="15"/>
        <v>0</v>
      </c>
    </row>
    <row r="187" spans="1:9">
      <c r="A187" s="30"/>
      <c r="B187" s="22" t="s">
        <v>187</v>
      </c>
      <c r="C187" s="34">
        <v>257.75</v>
      </c>
      <c r="D187" s="24">
        <f t="shared" si="13"/>
        <v>14.3194444444444</v>
      </c>
      <c r="E187" s="25"/>
      <c r="F187" s="32"/>
      <c r="G187" s="28"/>
      <c r="H187" s="27">
        <f t="shared" si="14"/>
        <v>0</v>
      </c>
      <c r="I187" s="45">
        <f t="shared" si="15"/>
        <v>0</v>
      </c>
    </row>
    <row r="188" spans="1:9">
      <c r="A188" s="30"/>
      <c r="B188" s="22" t="s">
        <v>188</v>
      </c>
      <c r="C188" s="34">
        <v>257.75</v>
      </c>
      <c r="D188" s="24">
        <f t="shared" si="13"/>
        <v>14.3194444444444</v>
      </c>
      <c r="E188" s="25"/>
      <c r="F188" s="32"/>
      <c r="G188" s="28"/>
      <c r="H188" s="27">
        <f t="shared" si="14"/>
        <v>0</v>
      </c>
      <c r="I188" s="45">
        <f t="shared" si="15"/>
        <v>0</v>
      </c>
    </row>
    <row r="189" spans="1:9">
      <c r="A189" s="30"/>
      <c r="B189" s="22" t="s">
        <v>189</v>
      </c>
      <c r="C189" s="34">
        <v>33.65</v>
      </c>
      <c r="D189" s="24">
        <f>(C189/12)</f>
        <v>2.8041666666666698</v>
      </c>
      <c r="E189" s="25"/>
      <c r="F189" s="32"/>
      <c r="G189" s="28"/>
      <c r="H189" s="27">
        <f>(E189*12)+G189</f>
        <v>0</v>
      </c>
      <c r="I189" s="45">
        <f t="shared" si="15"/>
        <v>0</v>
      </c>
    </row>
    <row r="190" spans="1:9">
      <c r="A190" s="30"/>
      <c r="B190" s="22" t="s">
        <v>190</v>
      </c>
      <c r="C190" s="34">
        <v>35.15</v>
      </c>
      <c r="D190" s="24">
        <f>(C190/12)</f>
        <v>2.9291666666666698</v>
      </c>
      <c r="E190" s="25"/>
      <c r="F190" s="32"/>
      <c r="G190" s="28"/>
      <c r="H190" s="27">
        <f>(E190*12)+G190</f>
        <v>0</v>
      </c>
      <c r="I190" s="45">
        <f t="shared" si="15"/>
        <v>0</v>
      </c>
    </row>
    <row r="191" spans="1:9">
      <c r="A191" s="30"/>
      <c r="B191" s="22" t="s">
        <v>191</v>
      </c>
      <c r="C191" s="34">
        <v>33.65</v>
      </c>
      <c r="D191" s="24">
        <f>(C191/12)</f>
        <v>2.8041666666666698</v>
      </c>
      <c r="E191" s="25"/>
      <c r="F191" s="32"/>
      <c r="G191" s="28"/>
      <c r="H191" s="27">
        <f>(E191*12)+G191</f>
        <v>0</v>
      </c>
      <c r="I191" s="45">
        <f t="shared" si="15"/>
        <v>0</v>
      </c>
    </row>
    <row r="192" spans="1:9">
      <c r="A192" s="30"/>
      <c r="B192" s="22" t="s">
        <v>192</v>
      </c>
      <c r="C192" s="34">
        <v>22.3</v>
      </c>
      <c r="D192" s="24">
        <f>(C192/12)</f>
        <v>1.8583333333333301</v>
      </c>
      <c r="E192" s="25"/>
      <c r="F192" s="32"/>
      <c r="G192" s="28"/>
      <c r="H192" s="27">
        <f>(E192*25)</f>
        <v>0</v>
      </c>
      <c r="I192" s="45">
        <f t="shared" si="15"/>
        <v>0</v>
      </c>
    </row>
    <row r="193" spans="1:9">
      <c r="A193" s="30"/>
      <c r="B193" s="22" t="s">
        <v>193</v>
      </c>
      <c r="C193" s="34">
        <v>195.41</v>
      </c>
      <c r="D193" s="24">
        <f>(C193/25)</f>
        <v>7.8163999999999998</v>
      </c>
      <c r="E193" s="25">
        <v>2</v>
      </c>
      <c r="F193" s="32"/>
      <c r="G193" s="32"/>
      <c r="H193" s="53">
        <f>(E193*25)</f>
        <v>50</v>
      </c>
      <c r="I193" s="45">
        <f t="shared" si="15"/>
        <v>390.82</v>
      </c>
    </row>
    <row r="194" spans="1:9">
      <c r="B194" s="22"/>
      <c r="C194" s="34"/>
      <c r="D194" s="24"/>
      <c r="E194" s="25"/>
      <c r="F194" s="25"/>
      <c r="G194" s="25"/>
      <c r="H194" s="53">
        <f>(E194*25)</f>
        <v>0</v>
      </c>
      <c r="I194" s="45">
        <f t="shared" si="15"/>
        <v>0</v>
      </c>
    </row>
    <row r="195" spans="1:9">
      <c r="A195" s="15"/>
      <c r="B195" s="14" t="s">
        <v>194</v>
      </c>
      <c r="C195" s="38"/>
      <c r="D195" s="39"/>
      <c r="E195" s="42"/>
      <c r="F195" s="48"/>
      <c r="G195" s="41"/>
      <c r="H195" s="51"/>
      <c r="I195" s="45"/>
    </row>
    <row r="196" spans="1:9">
      <c r="A196" s="30"/>
      <c r="B196" s="22" t="s">
        <v>195</v>
      </c>
      <c r="C196" s="34">
        <v>934</v>
      </c>
      <c r="D196" s="24">
        <f>(C196/100)</f>
        <v>9.34</v>
      </c>
      <c r="E196" s="25"/>
      <c r="F196" s="32"/>
      <c r="G196" s="28"/>
      <c r="H196" s="27">
        <f>(E196*100)+G196</f>
        <v>0</v>
      </c>
      <c r="I196" s="45">
        <f t="shared" ref="I196:I206" si="16">H196*D196</f>
        <v>0</v>
      </c>
    </row>
    <row r="197" spans="1:9">
      <c r="A197" s="30"/>
      <c r="B197" s="22" t="s">
        <v>196</v>
      </c>
      <c r="C197" s="34">
        <v>814.96</v>
      </c>
      <c r="D197" s="24">
        <f>(C197/100)</f>
        <v>8.1495999999999995</v>
      </c>
      <c r="E197" s="25"/>
      <c r="F197" s="32"/>
      <c r="G197" s="28"/>
      <c r="H197" s="27">
        <f>(E197*100)+G197</f>
        <v>0</v>
      </c>
      <c r="I197" s="45">
        <f t="shared" si="16"/>
        <v>0</v>
      </c>
    </row>
    <row r="198" spans="1:9">
      <c r="A198" s="30"/>
      <c r="B198" s="22" t="s">
        <v>197</v>
      </c>
      <c r="C198" s="54">
        <v>1248.21</v>
      </c>
      <c r="D198" s="24">
        <f>(C198/100)</f>
        <v>12.482100000000001</v>
      </c>
      <c r="E198" s="25"/>
      <c r="F198" s="32"/>
      <c r="G198" s="28"/>
      <c r="H198" s="27">
        <f>(E198*100)+G198</f>
        <v>0</v>
      </c>
      <c r="I198" s="45">
        <f t="shared" si="16"/>
        <v>0</v>
      </c>
    </row>
    <row r="199" spans="1:9">
      <c r="A199" s="30"/>
      <c r="B199" s="22" t="s">
        <v>198</v>
      </c>
      <c r="C199" s="34">
        <v>2637.08</v>
      </c>
      <c r="D199" s="24">
        <f>(C199/300)</f>
        <v>8.7902666666666693</v>
      </c>
      <c r="E199" s="25"/>
      <c r="F199" s="32"/>
      <c r="G199" s="28"/>
      <c r="H199" s="27">
        <f>(E199*300)+G199</f>
        <v>0</v>
      </c>
      <c r="I199" s="45">
        <f t="shared" si="16"/>
        <v>0</v>
      </c>
    </row>
    <row r="200" spans="1:9">
      <c r="A200" s="30">
        <v>36347</v>
      </c>
      <c r="B200" s="22" t="s">
        <v>199</v>
      </c>
      <c r="C200" s="34">
        <v>892.67</v>
      </c>
      <c r="D200" s="24">
        <f>(C200/104)</f>
        <v>8.5833653846153801</v>
      </c>
      <c r="E200" s="25"/>
      <c r="F200" s="32"/>
      <c r="G200" s="28"/>
      <c r="H200" s="27">
        <f>(E200*104)+G200</f>
        <v>0</v>
      </c>
      <c r="I200" s="45">
        <f t="shared" si="16"/>
        <v>0</v>
      </c>
    </row>
    <row r="201" spans="1:9">
      <c r="A201" s="30"/>
      <c r="B201" s="22" t="s">
        <v>200</v>
      </c>
      <c r="C201" s="34">
        <v>255.25</v>
      </c>
      <c r="D201" s="24">
        <f>(C201/40)</f>
        <v>6.3812499999999996</v>
      </c>
      <c r="E201" s="25"/>
      <c r="F201" s="32"/>
      <c r="G201" s="28"/>
      <c r="H201" s="27">
        <f>(E201*40)+G201</f>
        <v>0</v>
      </c>
      <c r="I201" s="45">
        <f t="shared" si="16"/>
        <v>0</v>
      </c>
    </row>
    <row r="202" spans="1:9">
      <c r="A202" s="30"/>
      <c r="B202" s="22" t="s">
        <v>201</v>
      </c>
      <c r="C202" s="34">
        <v>814.96</v>
      </c>
      <c r="D202" s="24">
        <f>(C202/100)</f>
        <v>8.1495999999999995</v>
      </c>
      <c r="E202" s="25"/>
      <c r="F202" s="32"/>
      <c r="G202" s="28"/>
      <c r="H202" s="27">
        <f>(E202*100)+G202</f>
        <v>0</v>
      </c>
      <c r="I202" s="45">
        <f t="shared" si="16"/>
        <v>0</v>
      </c>
    </row>
    <row r="203" spans="1:9">
      <c r="A203" s="30"/>
      <c r="B203" s="52" t="s">
        <v>202</v>
      </c>
      <c r="C203" s="54">
        <v>190.78</v>
      </c>
      <c r="D203" s="24">
        <f>(C203/24)</f>
        <v>7.9491666666666703</v>
      </c>
      <c r="E203" s="25"/>
      <c r="F203" s="32"/>
      <c r="G203" s="28"/>
      <c r="H203" s="27">
        <f>(E203*24)+G203</f>
        <v>0</v>
      </c>
      <c r="I203" s="45">
        <f t="shared" si="16"/>
        <v>0</v>
      </c>
    </row>
    <row r="204" spans="1:9">
      <c r="A204" s="30"/>
      <c r="B204" s="22" t="s">
        <v>203</v>
      </c>
      <c r="C204" s="34">
        <v>1009.2</v>
      </c>
      <c r="D204" s="24">
        <f>(C204/104)</f>
        <v>9.7038461538461505</v>
      </c>
      <c r="E204" s="25"/>
      <c r="F204" s="32"/>
      <c r="G204" s="29"/>
      <c r="H204" s="27">
        <f>(E204*104)+G204</f>
        <v>0</v>
      </c>
      <c r="I204" s="45">
        <f t="shared" si="16"/>
        <v>0</v>
      </c>
    </row>
    <row r="205" spans="1:9">
      <c r="A205" s="30">
        <v>36347</v>
      </c>
      <c r="B205" s="22" t="s">
        <v>204</v>
      </c>
      <c r="C205" s="34">
        <v>2151.2399999999998</v>
      </c>
      <c r="D205" s="24">
        <f>(C205/200)</f>
        <v>10.7562</v>
      </c>
      <c r="E205" s="25"/>
      <c r="F205" s="32"/>
      <c r="G205" s="28"/>
      <c r="H205" s="27">
        <f>(E205*200)+G205</f>
        <v>0</v>
      </c>
      <c r="I205" s="45">
        <f t="shared" si="16"/>
        <v>0</v>
      </c>
    </row>
    <row r="206" spans="1:9">
      <c r="A206" s="30"/>
      <c r="B206" s="22" t="s">
        <v>205</v>
      </c>
      <c r="C206" s="34"/>
      <c r="D206" s="24">
        <f>(C206/100)</f>
        <v>0</v>
      </c>
      <c r="E206" s="25"/>
      <c r="F206" s="32"/>
      <c r="G206" s="28"/>
      <c r="H206" s="27">
        <f>(E206*100)+G206</f>
        <v>0</v>
      </c>
      <c r="I206" s="45">
        <f t="shared" si="16"/>
        <v>0</v>
      </c>
    </row>
    <row r="207" spans="1:9">
      <c r="A207" s="15"/>
      <c r="B207" s="14" t="s">
        <v>206</v>
      </c>
      <c r="C207" s="38"/>
      <c r="D207" s="39"/>
      <c r="E207" s="42"/>
      <c r="F207" s="48"/>
      <c r="G207" s="41"/>
      <c r="H207" s="51"/>
      <c r="I207" s="41"/>
    </row>
    <row r="208" spans="1:9">
      <c r="A208" s="30"/>
      <c r="B208" s="22" t="s">
        <v>207</v>
      </c>
      <c r="C208" s="34">
        <v>120.5</v>
      </c>
      <c r="D208" s="24">
        <f>(C208/5.1)</f>
        <v>23.627450980392201</v>
      </c>
      <c r="E208" s="25"/>
      <c r="F208" s="28"/>
      <c r="G208" s="29"/>
      <c r="H208" s="27">
        <f>(E208*5.5)+(F208*1.1)+G208</f>
        <v>0</v>
      </c>
      <c r="I208" s="45">
        <f t="shared" ref="I208:I215" si="17">H208*D208</f>
        <v>0</v>
      </c>
    </row>
    <row r="209" spans="1:9">
      <c r="A209" s="30"/>
      <c r="B209" s="22" t="s">
        <v>208</v>
      </c>
      <c r="C209" s="23">
        <v>304.8</v>
      </c>
      <c r="D209" s="24">
        <f>(C209/4)</f>
        <v>76.2</v>
      </c>
      <c r="E209" s="25"/>
      <c r="F209" s="28"/>
      <c r="G209" s="29"/>
      <c r="H209" s="27">
        <f>(E209*4)+(F209*1)+G209</f>
        <v>0</v>
      </c>
      <c r="I209" s="45">
        <f t="shared" si="17"/>
        <v>0</v>
      </c>
    </row>
    <row r="210" spans="1:9">
      <c r="A210" s="30"/>
      <c r="B210" s="22" t="s">
        <v>209</v>
      </c>
      <c r="C210" s="23">
        <v>178.91</v>
      </c>
      <c r="D210" s="24">
        <f>(C210/3)</f>
        <v>59.636666666666699</v>
      </c>
      <c r="E210" s="25"/>
      <c r="F210" s="28"/>
      <c r="G210" s="29"/>
      <c r="H210" s="27">
        <f>(E210*3)+(F210*1)+G210</f>
        <v>0</v>
      </c>
      <c r="I210" s="45">
        <f t="shared" si="17"/>
        <v>0</v>
      </c>
    </row>
    <row r="211" spans="1:9">
      <c r="A211" s="30"/>
      <c r="B211" s="22" t="s">
        <v>210</v>
      </c>
      <c r="C211" s="23">
        <v>285.83999999999997</v>
      </c>
      <c r="D211" s="24">
        <f>(C211/4)</f>
        <v>71.459999999999994</v>
      </c>
      <c r="E211" s="25">
        <v>1</v>
      </c>
      <c r="F211" s="28"/>
      <c r="G211" s="29"/>
      <c r="H211" s="27">
        <f>(E211*4)+G211</f>
        <v>4</v>
      </c>
      <c r="I211" s="45">
        <f t="shared" si="17"/>
        <v>285.83999999999997</v>
      </c>
    </row>
    <row r="212" spans="1:9">
      <c r="A212" s="30"/>
      <c r="B212" s="22" t="s">
        <v>211</v>
      </c>
      <c r="C212" s="23">
        <v>143.29</v>
      </c>
      <c r="D212" s="24">
        <f>(C212/160)</f>
        <v>0.89556250000000004</v>
      </c>
      <c r="E212" s="25"/>
      <c r="F212" s="32"/>
      <c r="G212" s="29"/>
      <c r="H212" s="27">
        <f>(E212*160)+G212</f>
        <v>0</v>
      </c>
      <c r="I212" s="45">
        <f t="shared" si="17"/>
        <v>0</v>
      </c>
    </row>
    <row r="213" spans="1:9">
      <c r="A213" s="30"/>
      <c r="B213" s="22" t="s">
        <v>212</v>
      </c>
      <c r="C213" s="34">
        <v>136.13999999999999</v>
      </c>
      <c r="D213" s="24">
        <f>(C213/375)</f>
        <v>0.36303999999999997</v>
      </c>
      <c r="E213" s="25"/>
      <c r="F213" s="32"/>
      <c r="G213" s="29"/>
      <c r="H213" s="27">
        <f>(E213*375)+G213</f>
        <v>0</v>
      </c>
      <c r="I213" s="45">
        <f t="shared" si="17"/>
        <v>0</v>
      </c>
    </row>
    <row r="214" spans="1:9">
      <c r="A214" s="30"/>
      <c r="B214" s="22" t="s">
        <v>213</v>
      </c>
      <c r="C214" s="34">
        <v>41.86</v>
      </c>
      <c r="D214" s="24">
        <f>(C214/600)</f>
        <v>6.9766666666666699E-2</v>
      </c>
      <c r="E214" s="25"/>
      <c r="F214" s="32"/>
      <c r="G214" s="29"/>
      <c r="H214" s="27">
        <f>(E214*5.5)+(F214*1.1)+G214</f>
        <v>0</v>
      </c>
      <c r="I214" s="45">
        <f t="shared" si="17"/>
        <v>0</v>
      </c>
    </row>
    <row r="215" spans="1:9">
      <c r="A215" s="30"/>
      <c r="B215" s="22" t="s">
        <v>214</v>
      </c>
      <c r="C215" s="34">
        <v>36.54</v>
      </c>
      <c r="D215" s="24">
        <f>(C215/500)</f>
        <v>7.3080000000000006E-2</v>
      </c>
      <c r="E215" s="25"/>
      <c r="F215" s="32"/>
      <c r="G215" s="29"/>
      <c r="H215" s="27">
        <f>(E215*5.5)+(F215*1.1)+G215</f>
        <v>0</v>
      </c>
      <c r="I215" s="45">
        <f t="shared" si="17"/>
        <v>0</v>
      </c>
    </row>
    <row r="216" spans="1:9">
      <c r="A216" s="30"/>
      <c r="B216" s="22" t="s">
        <v>215</v>
      </c>
      <c r="C216" s="23">
        <v>121.95</v>
      </c>
      <c r="D216" s="24">
        <f>(C216/500)</f>
        <v>0.24390000000000001</v>
      </c>
      <c r="E216" s="25"/>
      <c r="F216" s="32"/>
      <c r="G216" s="29">
        <v>200</v>
      </c>
      <c r="H216" s="27">
        <f>(E216*500)+G216</f>
        <v>200</v>
      </c>
      <c r="I216" s="45"/>
    </row>
    <row r="217" spans="1:9">
      <c r="A217" s="30"/>
      <c r="B217" s="22" t="s">
        <v>216</v>
      </c>
      <c r="C217" s="34">
        <v>142.38999999999999</v>
      </c>
      <c r="D217" s="24">
        <f>(C217/500)</f>
        <v>0.28477999999999998</v>
      </c>
      <c r="E217" s="25"/>
      <c r="F217" s="32"/>
      <c r="G217" s="29"/>
      <c r="H217" s="27">
        <f>(E217*500)+G217</f>
        <v>0</v>
      </c>
      <c r="I217" s="45">
        <f>H217*D217</f>
        <v>0</v>
      </c>
    </row>
    <row r="218" spans="1:9">
      <c r="A218" s="30"/>
      <c r="B218" s="22" t="s">
        <v>217</v>
      </c>
      <c r="C218" s="34">
        <v>144.79</v>
      </c>
      <c r="D218" s="24">
        <f>(C218/500)</f>
        <v>0.28958</v>
      </c>
      <c r="E218" s="25"/>
      <c r="F218" s="28"/>
      <c r="G218" s="29"/>
      <c r="H218" s="27">
        <f>(E218*500)+(F218*50)+G218</f>
        <v>0</v>
      </c>
      <c r="I218" s="45">
        <f>H218*D218</f>
        <v>0</v>
      </c>
    </row>
    <row r="219" spans="1:9">
      <c r="A219" s="30"/>
      <c r="B219" s="22" t="s">
        <v>218</v>
      </c>
      <c r="C219" s="34">
        <v>149.53</v>
      </c>
      <c r="D219" s="24">
        <f>(C219/5.5)</f>
        <v>27.187272727272699</v>
      </c>
      <c r="E219" s="25"/>
      <c r="F219" s="28"/>
      <c r="G219" s="29"/>
      <c r="H219" s="27">
        <f>(E219*5.5)+(F219*1.1)+G219</f>
        <v>0</v>
      </c>
      <c r="I219" s="45">
        <f>H219*D219</f>
        <v>0</v>
      </c>
    </row>
    <row r="220" spans="1:9">
      <c r="A220" s="30"/>
      <c r="B220" s="22" t="s">
        <v>219</v>
      </c>
      <c r="C220" s="34">
        <v>349.17</v>
      </c>
      <c r="D220" s="24">
        <f>(C220/6.9)</f>
        <v>50.604347826087</v>
      </c>
      <c r="E220" s="25"/>
      <c r="F220" s="29"/>
      <c r="G220" s="29"/>
      <c r="H220" s="27">
        <f>(E220*6.9)+(F220*0.5)+G220</f>
        <v>0</v>
      </c>
      <c r="I220" s="45">
        <f>H220*D220</f>
        <v>0</v>
      </c>
    </row>
    <row r="221" spans="1:9">
      <c r="A221" s="30"/>
      <c r="B221" s="22" t="s">
        <v>220</v>
      </c>
      <c r="C221" s="34">
        <v>239.44</v>
      </c>
      <c r="D221" s="24">
        <f>(C221/5)</f>
        <v>47.887999999999998</v>
      </c>
      <c r="E221" s="25"/>
      <c r="F221" s="29"/>
      <c r="G221" s="29"/>
      <c r="H221" s="27">
        <f>(E221*5)+(F221*50)+G221</f>
        <v>0</v>
      </c>
      <c r="I221" s="45">
        <f>H221*D221</f>
        <v>0</v>
      </c>
    </row>
    <row r="222" spans="1:9">
      <c r="A222" s="30"/>
      <c r="B222" s="22" t="s">
        <v>221</v>
      </c>
      <c r="C222" s="34">
        <v>638.37</v>
      </c>
      <c r="D222" s="24">
        <f>(C222/1)</f>
        <v>638.37</v>
      </c>
      <c r="E222" s="25"/>
      <c r="F222" s="32"/>
      <c r="G222" s="32"/>
      <c r="H222" s="27">
        <f t="shared" ref="H222:H225" si="18">(E222*1)</f>
        <v>0</v>
      </c>
      <c r="I222" s="45">
        <f t="shared" ref="I222:I231" si="19">H222*D222</f>
        <v>0</v>
      </c>
    </row>
    <row r="223" spans="1:9">
      <c r="A223" s="30"/>
      <c r="B223" s="22" t="s">
        <v>222</v>
      </c>
      <c r="C223" s="34">
        <v>78.62</v>
      </c>
      <c r="D223" s="24">
        <f>(C223/1)</f>
        <v>78.62</v>
      </c>
      <c r="E223" s="25"/>
      <c r="F223" s="32"/>
      <c r="G223" s="32"/>
      <c r="H223" s="27">
        <f t="shared" ref="H223" si="20">(E223*1)</f>
        <v>0</v>
      </c>
      <c r="I223" s="45">
        <f t="shared" ref="I223:I224" si="21">H223*D223</f>
        <v>0</v>
      </c>
    </row>
    <row r="224" spans="1:9">
      <c r="A224" s="30">
        <v>28288</v>
      </c>
      <c r="B224" s="22" t="s">
        <v>223</v>
      </c>
      <c r="C224" s="23">
        <v>362.96</v>
      </c>
      <c r="D224" s="24">
        <f>(C224/5)</f>
        <v>72.591999999999999</v>
      </c>
      <c r="E224" s="25"/>
      <c r="F224" s="32"/>
      <c r="G224" s="29"/>
      <c r="H224" s="27">
        <f>(E224*5)+G224</f>
        <v>0</v>
      </c>
      <c r="I224" s="45">
        <f t="shared" si="21"/>
        <v>0</v>
      </c>
    </row>
    <row r="225" spans="1:9">
      <c r="A225" s="30"/>
      <c r="B225" s="22" t="s">
        <v>224</v>
      </c>
      <c r="C225" s="23">
        <v>623.04999999999995</v>
      </c>
      <c r="D225" s="24">
        <f>(C225/1)</f>
        <v>623.04999999999995</v>
      </c>
      <c r="E225" s="25"/>
      <c r="F225" s="32"/>
      <c r="G225" s="32"/>
      <c r="H225" s="27">
        <f t="shared" si="18"/>
        <v>0</v>
      </c>
      <c r="I225" s="45">
        <f t="shared" si="19"/>
        <v>0</v>
      </c>
    </row>
    <row r="226" spans="1:9">
      <c r="A226" s="30">
        <v>28288</v>
      </c>
      <c r="B226" s="22" t="s">
        <v>225</v>
      </c>
      <c r="C226" s="23">
        <v>399.81</v>
      </c>
      <c r="D226" s="24">
        <f>(C226/5)</f>
        <v>79.962000000000003</v>
      </c>
      <c r="E226" s="25"/>
      <c r="F226" s="32"/>
      <c r="G226" s="29"/>
      <c r="H226" s="27">
        <f>(E226*5)+G226</f>
        <v>0</v>
      </c>
      <c r="I226" s="45">
        <f t="shared" si="19"/>
        <v>0</v>
      </c>
    </row>
    <row r="227" spans="1:9">
      <c r="A227" s="30">
        <v>35078</v>
      </c>
      <c r="B227" s="22" t="s">
        <v>226</v>
      </c>
      <c r="C227" s="23">
        <v>42.97</v>
      </c>
      <c r="D227" s="24">
        <f>(C227/40)</f>
        <v>1.0742499999999999</v>
      </c>
      <c r="E227" s="25"/>
      <c r="F227" s="32"/>
      <c r="G227" s="28"/>
      <c r="H227" s="27">
        <f>(E227*40)+G227</f>
        <v>0</v>
      </c>
      <c r="I227" s="45">
        <f t="shared" si="19"/>
        <v>0</v>
      </c>
    </row>
    <row r="228" spans="1:9">
      <c r="A228" s="30">
        <v>10880</v>
      </c>
      <c r="B228" s="22" t="s">
        <v>227</v>
      </c>
      <c r="C228" s="23">
        <v>426.17</v>
      </c>
      <c r="D228" s="24">
        <f>(C228/50)</f>
        <v>8.5234000000000005</v>
      </c>
      <c r="E228" s="25"/>
      <c r="F228" s="32"/>
      <c r="G228" s="28">
        <v>105</v>
      </c>
      <c r="H228" s="27">
        <f>(E228*50)+G228</f>
        <v>105</v>
      </c>
      <c r="I228" s="45">
        <f t="shared" si="19"/>
        <v>894.95699999999999</v>
      </c>
    </row>
    <row r="229" spans="1:9">
      <c r="A229" s="30"/>
      <c r="B229" s="22" t="s">
        <v>228</v>
      </c>
      <c r="C229" s="23">
        <v>103.28</v>
      </c>
      <c r="D229" s="24">
        <f>(C229/1)</f>
        <v>103.28</v>
      </c>
      <c r="E229" s="25"/>
      <c r="F229" s="32"/>
      <c r="G229" s="28"/>
      <c r="H229" s="27">
        <f>(E229*1)+G229</f>
        <v>0</v>
      </c>
      <c r="I229" s="45"/>
    </row>
    <row r="230" spans="1:9">
      <c r="A230" s="30"/>
      <c r="B230" s="22" t="s">
        <v>229</v>
      </c>
      <c r="C230" s="23">
        <v>178.26</v>
      </c>
      <c r="D230" s="24">
        <f>(C230/3)</f>
        <v>59.42</v>
      </c>
      <c r="E230" s="25"/>
      <c r="F230" s="32"/>
      <c r="G230" s="28"/>
      <c r="H230" s="27">
        <f>(E230*3)+G230</f>
        <v>0</v>
      </c>
      <c r="I230" s="45"/>
    </row>
    <row r="231" spans="1:9">
      <c r="A231" s="30">
        <v>38112</v>
      </c>
      <c r="B231" s="22" t="s">
        <v>230</v>
      </c>
      <c r="C231" s="23">
        <v>60.94</v>
      </c>
      <c r="D231" s="24">
        <f>(C231/1)</f>
        <v>60.94</v>
      </c>
      <c r="E231" s="25"/>
      <c r="F231" s="32"/>
      <c r="G231" s="29">
        <v>46</v>
      </c>
      <c r="H231" s="27">
        <f t="shared" ref="H231" si="22">(E231*50)+G231</f>
        <v>46</v>
      </c>
      <c r="I231" s="45">
        <f t="shared" si="19"/>
        <v>2803.24</v>
      </c>
    </row>
    <row r="232" spans="1:9">
      <c r="A232" s="74" t="s">
        <v>231</v>
      </c>
      <c r="B232" s="75"/>
      <c r="C232" s="78">
        <f>SUM(I7:I221)</f>
        <v>62650.352864394859</v>
      </c>
      <c r="D232" s="79"/>
      <c r="E232" s="79"/>
      <c r="F232" s="79"/>
      <c r="G232" s="79"/>
      <c r="H232" s="79"/>
      <c r="I232" s="80"/>
    </row>
    <row r="233" spans="1:9">
      <c r="A233" s="76"/>
      <c r="B233" s="77"/>
      <c r="C233" s="81"/>
      <c r="D233" s="82"/>
      <c r="E233" s="82"/>
      <c r="F233" s="82"/>
      <c r="G233" s="82"/>
      <c r="H233" s="82"/>
      <c r="I233" s="83"/>
    </row>
  </sheetData>
  <sortState xmlns:xlrd2="http://schemas.microsoft.com/office/spreadsheetml/2017/richdata2" ref="B202:I215">
    <sortCondition ref="B90"/>
  </sortState>
  <mergeCells count="10">
    <mergeCell ref="A232:B233"/>
    <mergeCell ref="C232:I233"/>
    <mergeCell ref="F1:I1"/>
    <mergeCell ref="C4:G4"/>
    <mergeCell ref="A4:A5"/>
    <mergeCell ref="B4:B5"/>
    <mergeCell ref="H4:H5"/>
    <mergeCell ref="I4:I5"/>
    <mergeCell ref="F2:I3"/>
    <mergeCell ref="B1:E3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Contagem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Victor</dc:creator>
  <cp:lastModifiedBy>BK Recanto</cp:lastModifiedBy>
  <cp:lastPrinted>2025-09-01T15:47:00Z</cp:lastPrinted>
  <dcterms:created xsi:type="dcterms:W3CDTF">2024-10-06T02:09:00Z</dcterms:created>
  <dcterms:modified xsi:type="dcterms:W3CDTF">2026-07-01T06:38:10Z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AA674F25EC164C408C7538F539105DFB_13</vt:lpwstr>
  </property>
  <property fmtid="{D5CDD505-2E9C-101B-9397-08002B2CF9AE}" pid="3" name="KSOProductBuildVer">
    <vt:lpwstr>1046-12.9.0.21549</vt:lpwstr>
  </property>
</Properties>
</file>