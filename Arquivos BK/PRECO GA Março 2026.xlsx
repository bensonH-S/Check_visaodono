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BK 2026\Preços Burger King\"/>
    </mc:Choice>
  </mc:AlternateContent>
  <bookViews>
    <workbookView xWindow="0" yWindow="0" windowWidth="20490" windowHeight="8910"/>
  </bookViews>
  <sheets>
    <sheet name="Precos Marco 2026" sheetId="1" r:id="rId1"/>
  </sheets>
  <definedNames>
    <definedName name="_xlnm._FilterDatabase" localSheetId="0" hidden="1">'Precos Marco 2026'!$D$1:$D$583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1" l="1"/>
  <c r="AC18" i="1"/>
  <c r="AC19" i="1"/>
  <c r="AC20" i="1"/>
  <c r="AC21" i="1"/>
  <c r="AC22" i="1"/>
  <c r="AC23" i="1"/>
  <c r="AC16" i="1"/>
  <c r="T214" i="1"/>
  <c r="T213" i="1"/>
  <c r="T212" i="1"/>
  <c r="AE16" i="1" l="1"/>
  <c r="AE17" i="1"/>
  <c r="AE21" i="1"/>
  <c r="AB17" i="1"/>
  <c r="AB18" i="1"/>
  <c r="AB19" i="1"/>
  <c r="AB20" i="1"/>
  <c r="AB21" i="1"/>
  <c r="AB22" i="1"/>
  <c r="AB23" i="1"/>
  <c r="AD17" i="1"/>
  <c r="AD18" i="1"/>
  <c r="AE18" i="1" s="1"/>
  <c r="AD19" i="1"/>
  <c r="AE19" i="1" s="1"/>
  <c r="AD20" i="1"/>
  <c r="AE20" i="1" s="1"/>
  <c r="AD21" i="1"/>
  <c r="AD22" i="1"/>
  <c r="AE22" i="1" s="1"/>
  <c r="AD23" i="1"/>
  <c r="AE23" i="1" s="1"/>
  <c r="AD16" i="1"/>
  <c r="AB16" i="1" l="1"/>
  <c r="AA17" i="1"/>
  <c r="AA18" i="1"/>
  <c r="AA19" i="1"/>
  <c r="AA20" i="1"/>
  <c r="AA21" i="1"/>
  <c r="AA22" i="1"/>
  <c r="AA23" i="1"/>
  <c r="AA16" i="1"/>
  <c r="W29" i="1" l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28" i="1"/>
  <c r="X28" i="1" s="1"/>
  <c r="W24" i="1"/>
  <c r="W25" i="1"/>
  <c r="X25" i="1" s="1"/>
  <c r="W26" i="1"/>
  <c r="X26" i="1" s="1"/>
  <c r="W27" i="1"/>
  <c r="X27" i="1" s="1"/>
  <c r="X24" i="1"/>
  <c r="W23" i="1"/>
  <c r="X23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15" i="1"/>
  <c r="X15" i="1" s="1"/>
  <c r="P4" i="1" l="1"/>
  <c r="P5" i="1"/>
  <c r="P6" i="1"/>
  <c r="P7" i="1"/>
  <c r="P8" i="1"/>
  <c r="P9" i="1"/>
  <c r="P10" i="1"/>
  <c r="P11" i="1"/>
  <c r="P12" i="1"/>
  <c r="P13" i="1"/>
  <c r="P16" i="1"/>
  <c r="P17" i="1"/>
  <c r="P19" i="1"/>
  <c r="P21" i="1"/>
  <c r="P23" i="1"/>
  <c r="P24" i="1"/>
  <c r="P25" i="1"/>
  <c r="P28" i="1"/>
  <c r="P29" i="1"/>
  <c r="P31" i="1"/>
  <c r="P33" i="1"/>
  <c r="P37" i="1"/>
  <c r="P38" i="1"/>
  <c r="P43" i="1"/>
  <c r="P44" i="1"/>
  <c r="P46" i="1"/>
  <c r="P47" i="1"/>
  <c r="P49" i="1"/>
  <c r="P50" i="1"/>
  <c r="P58" i="1"/>
  <c r="P59" i="1"/>
  <c r="P61" i="1"/>
  <c r="P62" i="1"/>
  <c r="P64" i="1"/>
  <c r="P65" i="1"/>
  <c r="P70" i="1"/>
  <c r="P71" i="1"/>
  <c r="P72" i="1"/>
  <c r="P73" i="1"/>
  <c r="P74" i="1"/>
  <c r="P75" i="1"/>
  <c r="P76" i="1"/>
  <c r="P77" i="1"/>
  <c r="P90" i="1"/>
  <c r="P92" i="1"/>
  <c r="P102" i="1"/>
  <c r="P103" i="1"/>
  <c r="P104" i="1"/>
  <c r="P105" i="1"/>
  <c r="P106" i="1"/>
  <c r="P107" i="1"/>
  <c r="P109" i="1"/>
  <c r="P115" i="1"/>
  <c r="P116" i="1"/>
  <c r="P117" i="1"/>
  <c r="P118" i="1"/>
  <c r="P119" i="1"/>
  <c r="P120" i="1"/>
  <c r="P126" i="1"/>
  <c r="P137" i="1"/>
  <c r="P138" i="1"/>
  <c r="P139" i="1"/>
  <c r="P140" i="1"/>
  <c r="P141" i="1"/>
  <c r="P142" i="1"/>
  <c r="P143" i="1"/>
  <c r="P145" i="1"/>
  <c r="P159" i="1"/>
  <c r="P160" i="1"/>
  <c r="P161" i="1"/>
  <c r="P162" i="1"/>
  <c r="P163" i="1"/>
  <c r="P164" i="1"/>
  <c r="P165" i="1"/>
  <c r="P166" i="1"/>
  <c r="P168" i="1"/>
  <c r="P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3" i="1"/>
  <c r="F171" i="1"/>
  <c r="F172" i="1"/>
  <c r="F173" i="1"/>
  <c r="F174" i="1"/>
  <c r="F175" i="1"/>
  <c r="F176" i="1"/>
  <c r="F177" i="1"/>
  <c r="F178" i="1"/>
  <c r="F180" i="1"/>
  <c r="F181" i="1"/>
  <c r="F182" i="1"/>
  <c r="F183" i="1"/>
  <c r="F184" i="1"/>
  <c r="F170" i="1"/>
  <c r="F139" i="1"/>
  <c r="F140" i="1"/>
  <c r="F141" i="1"/>
  <c r="F142" i="1"/>
  <c r="F143" i="1"/>
  <c r="F147" i="1"/>
  <c r="F148" i="1"/>
  <c r="F149" i="1"/>
  <c r="F150" i="1"/>
  <c r="F158" i="1"/>
  <c r="F159" i="1"/>
  <c r="F160" i="1"/>
  <c r="F161" i="1"/>
  <c r="F82" i="1"/>
  <c r="F83" i="1"/>
  <c r="F84" i="1"/>
</calcChain>
</file>

<file path=xl/sharedStrings.xml><?xml version="1.0" encoding="utf-8"?>
<sst xmlns="http://schemas.openxmlformats.org/spreadsheetml/2006/main" count="1136" uniqueCount="492">
  <si>
    <t>TABELA</t>
  </si>
  <si>
    <t>CLOSING</t>
  </si>
  <si>
    <t>FAMÍLIA</t>
  </si>
  <si>
    <t>COMBO</t>
  </si>
  <si>
    <t>PRODUTO</t>
  </si>
  <si>
    <t>SET/CÓD PMIX</t>
  </si>
  <si>
    <t>CORE INDIVIDUAL</t>
  </si>
  <si>
    <t>CORE</t>
  </si>
  <si>
    <t>INDIVIDUAL</t>
  </si>
  <si>
    <t>INDIVIDUAL CHICKEN CRISPY</t>
  </si>
  <si>
    <t>7100123</t>
  </si>
  <si>
    <t>INDIVIDUAL WHOPPER DP JR</t>
  </si>
  <si>
    <t>7100183</t>
  </si>
  <si>
    <t>INDIVIDUAL WHOPPER PLANTAS</t>
  </si>
  <si>
    <t>7100088</t>
  </si>
  <si>
    <t>TASTY</t>
  </si>
  <si>
    <t>TODO DIA</t>
  </si>
  <si>
    <t>INDIVIDUAL BIG KING</t>
  </si>
  <si>
    <t>7100023</t>
  </si>
  <si>
    <t>INDIVIDUAL CHEDDAR DP</t>
  </si>
  <si>
    <t>7100161</t>
  </si>
  <si>
    <t>INDIVIDUAL CHICKEN DP</t>
  </si>
  <si>
    <t>7100095</t>
  </si>
  <si>
    <t>INDIVIDUAL CHS BURGER DP</t>
  </si>
  <si>
    <t>7100055</t>
  </si>
  <si>
    <t>INDIVIDUAL RODEIO DP</t>
  </si>
  <si>
    <t>7100102</t>
  </si>
  <si>
    <t>INDIVIDUAL STACKER DUPLO BACON</t>
  </si>
  <si>
    <t>7100105</t>
  </si>
  <si>
    <t>INDIVIDUAL WHOPPER</t>
  </si>
  <si>
    <t>1050</t>
  </si>
  <si>
    <t>CORE COMBO</t>
  </si>
  <si>
    <t>COMBO CHICKEN CRISPY</t>
  </si>
  <si>
    <t>6005279</t>
  </si>
  <si>
    <t>COMBO CHICKEN DP + 4 BK FRANG</t>
  </si>
  <si>
    <t>6008229</t>
  </si>
  <si>
    <t>COMBO WHOPPER DP JR</t>
  </si>
  <si>
    <t>6006918</t>
  </si>
  <si>
    <t>COMBO WHOPPER PLANTAS</t>
  </si>
  <si>
    <t>6001645</t>
  </si>
  <si>
    <t>COMBO SET BK TASTE REG</t>
  </si>
  <si>
    <t>6008102</t>
  </si>
  <si>
    <t>COMBO BIG KING</t>
  </si>
  <si>
    <t>7100018</t>
  </si>
  <si>
    <t>COMBO CHEDDAR DP</t>
  </si>
  <si>
    <t>6006751</t>
  </si>
  <si>
    <t>COMBO CHICKEN DP</t>
  </si>
  <si>
    <t>6002384</t>
  </si>
  <si>
    <t>COMBO CHS BURGER DP</t>
  </si>
  <si>
    <t>6005985</t>
  </si>
  <si>
    <t>COMBO RODEIO DP</t>
  </si>
  <si>
    <t>6002696</t>
  </si>
  <si>
    <t>COMBO STACKER DUPLO BACON</t>
  </si>
  <si>
    <t>6004204</t>
  </si>
  <si>
    <t>COMBO WHOPPER</t>
  </si>
  <si>
    <t>1051</t>
  </si>
  <si>
    <t>KING EM DOBRO</t>
  </si>
  <si>
    <t>COMBO KING EM DOBRO +1 COMBO</t>
  </si>
  <si>
    <t>6006915</t>
  </si>
  <si>
    <t>COMBO KING EM DOBRO +2 COMBO</t>
  </si>
  <si>
    <t>6006917</t>
  </si>
  <si>
    <t>COMBO KING EM DOBRO INDIVIDUAL</t>
  </si>
  <si>
    <t>6008164</t>
  </si>
  <si>
    <t>VALOR</t>
  </si>
  <si>
    <t>KING OFERTAS</t>
  </si>
  <si>
    <t>COMBO CHICKEN JR</t>
  </si>
  <si>
    <t>2065</t>
  </si>
  <si>
    <t>COMBO CHS BURGER</t>
  </si>
  <si>
    <t>2101</t>
  </si>
  <si>
    <t>COMBO RODEIO</t>
  </si>
  <si>
    <t>7000007</t>
  </si>
  <si>
    <t>COMBO WHOPPER JR</t>
  </si>
  <si>
    <t>1601</t>
  </si>
  <si>
    <t>INDIVIDUAL CHICKEN JR</t>
  </si>
  <si>
    <t>2064</t>
  </si>
  <si>
    <t>INDIVIDUAL CHS BURGER</t>
  </si>
  <si>
    <t>2100</t>
  </si>
  <si>
    <t>INDIVIDUAL RODEIO</t>
  </si>
  <si>
    <t>7100036</t>
  </si>
  <si>
    <t>INDIVIDUAL WHOPPER JR</t>
  </si>
  <si>
    <t>1600</t>
  </si>
  <si>
    <t>PREMIUM</t>
  </si>
  <si>
    <t>STACKER</t>
  </si>
  <si>
    <t>2611</t>
  </si>
  <si>
    <t>COMBO MEGA STACKER 3.0</t>
  </si>
  <si>
    <t>2613</t>
  </si>
  <si>
    <t>COMBO MEGA STACKER CHEDDAR 2.0</t>
  </si>
  <si>
    <t>6000956</t>
  </si>
  <si>
    <t>COMBO MEGA STACKER CHEDDAR 3.0</t>
  </si>
  <si>
    <t>6000957</t>
  </si>
  <si>
    <t>COMBO MEGA STACKER RODEIO 2.0</t>
  </si>
  <si>
    <t>COMBO MEGA STACKER RODEIO 3.0</t>
  </si>
  <si>
    <t>6007462</t>
  </si>
  <si>
    <t>INDIVIDUAL MEGA STACKER 2.0</t>
  </si>
  <si>
    <t>2610</t>
  </si>
  <si>
    <t>INDIVIDUAL MEGA STACKER 3.0</t>
  </si>
  <si>
    <t>2612</t>
  </si>
  <si>
    <t>INDIVIDUAL MEGA STACKER CHEDDAR 2.0</t>
  </si>
  <si>
    <t>7100063</t>
  </si>
  <si>
    <t>INDIVIDUAL MEGA STACKER CHEDDAR 3.0</t>
  </si>
  <si>
    <t>7100064</t>
  </si>
  <si>
    <t>INDIVIDUAL MEGA STACKER RODEIO 2.0</t>
  </si>
  <si>
    <t>7100060</t>
  </si>
  <si>
    <t>INDIVIDUAL MEGA STACKER RODEIO 3.0</t>
  </si>
  <si>
    <t>7100061</t>
  </si>
  <si>
    <t>WHOPPER</t>
  </si>
  <si>
    <t>6002687</t>
  </si>
  <si>
    <t>COMBO WHOPPER DP</t>
  </si>
  <si>
    <t>1053</t>
  </si>
  <si>
    <t>COMBO WHOPPER FURIOSO</t>
  </si>
  <si>
    <t>1701</t>
  </si>
  <si>
    <t>COMBO WHOPPER RODEIO</t>
  </si>
  <si>
    <t>6002688</t>
  </si>
  <si>
    <t>INDIVIDUAL WHOPPER BBQ BACON</t>
  </si>
  <si>
    <t>7100100</t>
  </si>
  <si>
    <t>INDIVIDUAL WHOPPER DP</t>
  </si>
  <si>
    <t>1052</t>
  </si>
  <si>
    <t>INDIVIDUAL WHOPPER FURIOSO</t>
  </si>
  <si>
    <t>1700</t>
  </si>
  <si>
    <t>INDIVIDUAL WHOPPER RODEIO</t>
  </si>
  <si>
    <t>7100101</t>
  </si>
  <si>
    <t>KIDS</t>
  </si>
  <si>
    <t>COMBO C KIDSBURGER C/AGUA 2021</t>
  </si>
  <si>
    <t>6004361</t>
  </si>
  <si>
    <t>INDIVIDUAL BRINQUEDO AVULSO</t>
  </si>
  <si>
    <t>5000891</t>
  </si>
  <si>
    <t>INDIVIDUAL MAÇA INDIVIDUAL</t>
  </si>
  <si>
    <t>7900006</t>
  </si>
  <si>
    <t>INDIVIDUAL PAO CARNE QUEIJO</t>
  </si>
  <si>
    <t>7100107</t>
  </si>
  <si>
    <t>SOBREMESA</t>
  </si>
  <si>
    <t>BALDE</t>
  </si>
  <si>
    <t>INDIVIDUAL BALDE CHOCOLATE</t>
  </si>
  <si>
    <t>8000046</t>
  </si>
  <si>
    <t>INDIVIDUAL BALDE DOCE DE LEITE MASSA DL</t>
  </si>
  <si>
    <t>8000061</t>
  </si>
  <si>
    <t>INDIVIDUAL BALDE MORANGO</t>
  </si>
  <si>
    <t>8000048</t>
  </si>
  <si>
    <t>BALDE ESPECIAL</t>
  </si>
  <si>
    <t>INDIVIDUAL BALDE BROWNIE</t>
  </si>
  <si>
    <t>8000065</t>
  </si>
  <si>
    <t>INDIVIDUAL BALDE OVOMALTINE</t>
  </si>
  <si>
    <t>8000071</t>
  </si>
  <si>
    <t>BK MIX</t>
  </si>
  <si>
    <t>INDIVIDUAL BK MIX BROWNIE</t>
  </si>
  <si>
    <t>8000066</t>
  </si>
  <si>
    <t>INDIVIDUAL BK MIX OVOMALTINE 2020</t>
  </si>
  <si>
    <t>8000070</t>
  </si>
  <si>
    <t>BK MIX LTO</t>
  </si>
  <si>
    <t>INDIVIDUAL BK MIX NUTELLA</t>
  </si>
  <si>
    <t>8000176</t>
  </si>
  <si>
    <t>BROWNIE</t>
  </si>
  <si>
    <t>INDIVIDUAL BROWNIE BRIGADEIRO</t>
  </si>
  <si>
    <t>CASQUINHA</t>
  </si>
  <si>
    <t>CASQUINHA OVOMALTINE</t>
  </si>
  <si>
    <t>8000246</t>
  </si>
  <si>
    <t>INDIVIDUAL CASQUINHA + AGUA</t>
  </si>
  <si>
    <t>6005261</t>
  </si>
  <si>
    <t>INDIVIDUAL CASQUINHA BAUNILHA</t>
  </si>
  <si>
    <t>20000</t>
  </si>
  <si>
    <t>INDIVIDUAL CASQUINHA DOCE DE LEITE</t>
  </si>
  <si>
    <t>8000043</t>
  </si>
  <si>
    <t>INDIVIDUAL CASQUINHA MISTA</t>
  </si>
  <si>
    <t>20002</t>
  </si>
  <si>
    <t>INDIVIDUAL CASQUINHA NUTELLA</t>
  </si>
  <si>
    <t>8000177</t>
  </si>
  <si>
    <t>CASQUINHA R</t>
  </si>
  <si>
    <t>INDIVIDUAL CASQUINHA RECHEADA CHOCOLATE</t>
  </si>
  <si>
    <t>8000001</t>
  </si>
  <si>
    <t>INDIVIDUAL CASQUINHA RECHEADA DOCE DE LEITE</t>
  </si>
  <si>
    <t>8000007</t>
  </si>
  <si>
    <t>INDIVIDUAL CASQUINHA RECHEADA OVOMALTINE</t>
  </si>
  <si>
    <t>8000012</t>
  </si>
  <si>
    <t>SHAKE</t>
  </si>
  <si>
    <t>INDIVIDUAL SHAKE BAUNILHA 400ML</t>
  </si>
  <si>
    <t>7700021</t>
  </si>
  <si>
    <t>INDIVIDUAL SHAKE CHOCOLATE 400ML</t>
  </si>
  <si>
    <t>7700016</t>
  </si>
  <si>
    <t>INDIVIDUAL SHAKE DOCE DE LEITE 400ML</t>
  </si>
  <si>
    <t>7700017</t>
  </si>
  <si>
    <t>INDIVIDUAL SHAKE MORANGO 400ML</t>
  </si>
  <si>
    <t>7700019</t>
  </si>
  <si>
    <t>SHAKE ESPECIAL</t>
  </si>
  <si>
    <t>INDIVIDUAL SHAKE BROWNIE</t>
  </si>
  <si>
    <t>7700072</t>
  </si>
  <si>
    <t>INDIVIDUAL SHAKE CROCANTE 400ML</t>
  </si>
  <si>
    <t>7700076</t>
  </si>
  <si>
    <t>SHAKE LTO</t>
  </si>
  <si>
    <t>INDIVIDUAL SHAKE NUTELLA</t>
  </si>
  <si>
    <t>8000204</t>
  </si>
  <si>
    <t>SUNDAE</t>
  </si>
  <si>
    <t>INDIVIDUAL SUNDAE CHOCOLATE</t>
  </si>
  <si>
    <t>20008</t>
  </si>
  <si>
    <t>INDIVIDUAL SUNDAE DOCE DE LEITE</t>
  </si>
  <si>
    <t>8000045</t>
  </si>
  <si>
    <t>INDIVIDUAL SUNDAE MORANGO</t>
  </si>
  <si>
    <t>8000081</t>
  </si>
  <si>
    <t>SUNDAE ESPECIAL</t>
  </si>
  <si>
    <t>INDIVIDUAL SUNDAE ESPECIAL OVOMALT</t>
  </si>
  <si>
    <t>8000013</t>
  </si>
  <si>
    <t>BEBIDA</t>
  </si>
  <si>
    <t>INDIVIDUAL AGUA</t>
  </si>
  <si>
    <t>9049</t>
  </si>
  <si>
    <t>INDIVIDUAL FREE REFILL</t>
  </si>
  <si>
    <t>9008</t>
  </si>
  <si>
    <t>INDIVIDUAL H2OH LIMAO</t>
  </si>
  <si>
    <t>9052</t>
  </si>
  <si>
    <t>INDIVIDUAL SUCO LARANJA NATURAL ONE</t>
  </si>
  <si>
    <t>7500029</t>
  </si>
  <si>
    <t>INDIVIDUAL SUCO MARACUJA NATURAL ONE</t>
  </si>
  <si>
    <t>7500031</t>
  </si>
  <si>
    <t>INDIVIDUAL SUCO UVA NATURAL ONE</t>
  </si>
  <si>
    <t>7500030</t>
  </si>
  <si>
    <t>ACOMPANHAMENTOS + ADD ON</t>
  </si>
  <si>
    <t>BATATA</t>
  </si>
  <si>
    <t>INDIVIDUAL BALDE DE BATATA</t>
  </si>
  <si>
    <t>7300014</t>
  </si>
  <si>
    <t>INDIVIDUAL BATATA FURIOSA GD</t>
  </si>
  <si>
    <t>6027</t>
  </si>
  <si>
    <t>INDIVIDUAL BATATA FURIOSA MD</t>
  </si>
  <si>
    <t>6025</t>
  </si>
  <si>
    <t>6013</t>
  </si>
  <si>
    <t>INDIVIDUAL BATATA MÉDIA</t>
  </si>
  <si>
    <t>6012</t>
  </si>
  <si>
    <t>INDIVIDUAL BATATA PEQ</t>
  </si>
  <si>
    <t>6011</t>
  </si>
  <si>
    <t>INDIVIDUAL BATATA SUPREMA GD</t>
  </si>
  <si>
    <t>6019</t>
  </si>
  <si>
    <t>INDIVIDUAL BATATA SUPREMA MD</t>
  </si>
  <si>
    <t>6020</t>
  </si>
  <si>
    <t>INDIVIDUAL TRIO FURIOSO</t>
  </si>
  <si>
    <t>6028</t>
  </si>
  <si>
    <t>INDIVIDUAL TRIO SUPREMO</t>
  </si>
  <si>
    <t>6021</t>
  </si>
  <si>
    <t>BK CHICKEN</t>
  </si>
  <si>
    <t>INDIVIDUAL BK CHICKEN  6 PCS C/MOLHO</t>
  </si>
  <si>
    <t>6522</t>
  </si>
  <si>
    <t>INDIVIDUAL BK CHICKEN  6 PCS SEM MOLHO</t>
  </si>
  <si>
    <t>7300024</t>
  </si>
  <si>
    <t>INDIVIDUAL BK CHICKEN 10 UM C/MOLHO</t>
  </si>
  <si>
    <t>7300001</t>
  </si>
  <si>
    <t>INDIVIDUAL BK CHICKEN 10 UN SEM MOLHO</t>
  </si>
  <si>
    <t>7300052</t>
  </si>
  <si>
    <t>INDIVIDUAL BK CHICKEN 4PC</t>
  </si>
  <si>
    <t>6508</t>
  </si>
  <si>
    <t>EXTRA</t>
  </si>
  <si>
    <t>INDIVIDUAL ALFACE</t>
  </si>
  <si>
    <t>8700012</t>
  </si>
  <si>
    <t>INDIVIDUAL BACON</t>
  </si>
  <si>
    <t>8700020</t>
  </si>
  <si>
    <t>INDIVIDUAL CARNE BURGER</t>
  </si>
  <si>
    <t>27001</t>
  </si>
  <si>
    <t>INDIVIDUAL CARNE CRISP CH</t>
  </si>
  <si>
    <t>27006</t>
  </si>
  <si>
    <t>INDIVIDUAL CARNE PEQ</t>
  </si>
  <si>
    <t>8700027</t>
  </si>
  <si>
    <t>INDIVIDUAL CARNE T CRISPY NOVO 2019</t>
  </si>
  <si>
    <t>8700048</t>
  </si>
  <si>
    <t>INDIVIDUAL CARNE WHOPPER</t>
  </si>
  <si>
    <t>27002</t>
  </si>
  <si>
    <t>INDIVIDUAL CATCHUP</t>
  </si>
  <si>
    <t>8700002</t>
  </si>
  <si>
    <t>INDIVIDUAL CEBOLA</t>
  </si>
  <si>
    <t>8700013</t>
  </si>
  <si>
    <t>INDIVIDUAL EXTRA BACON CUBOS</t>
  </si>
  <si>
    <t>8700054</t>
  </si>
  <si>
    <t>INDIVIDUAL EXTRA CARNE ESPECIAL</t>
  </si>
  <si>
    <t>8700057</t>
  </si>
  <si>
    <t>INDIVIDUAL EXTRA CEBOLA CRISPY</t>
  </si>
  <si>
    <t>8550015</t>
  </si>
  <si>
    <t>INDIVIDUAL EXTRA MAIONESE VERDE</t>
  </si>
  <si>
    <t>8800015</t>
  </si>
  <si>
    <t>INDIVIDUAL HAMB VEGET</t>
  </si>
  <si>
    <t>8700052</t>
  </si>
  <si>
    <t>INDIVIDUAL JALAPENO</t>
  </si>
  <si>
    <t>8700007</t>
  </si>
  <si>
    <t>INDIVIDUAL M BBQ SAND</t>
  </si>
  <si>
    <t>8700005</t>
  </si>
  <si>
    <t>INDIVIDUAL M CHEDDAR</t>
  </si>
  <si>
    <t>8700004</t>
  </si>
  <si>
    <t>INDIVIDUAL M FURIOUS SAND</t>
  </si>
  <si>
    <t>8700006</t>
  </si>
  <si>
    <t>INDIVIDUAL MAIONESE</t>
  </si>
  <si>
    <t>8700001</t>
  </si>
  <si>
    <t>INDIVIDUAL MOLHO STACKER</t>
  </si>
  <si>
    <t>8700009</t>
  </si>
  <si>
    <t>INDIVIDUAL MOSTARDA</t>
  </si>
  <si>
    <t>8700003</t>
  </si>
  <si>
    <t>INDIVIDUAL ONION RING</t>
  </si>
  <si>
    <t>8700019</t>
  </si>
  <si>
    <t>INDIVIDUAL PICLES</t>
  </si>
  <si>
    <t>8700010</t>
  </si>
  <si>
    <t>INDIVIDUAL QUEIJO</t>
  </si>
  <si>
    <t>8700017</t>
  </si>
  <si>
    <t>INDIVIDUAL TOMATE</t>
  </si>
  <si>
    <t>8700011</t>
  </si>
  <si>
    <t>MOLHOS</t>
  </si>
  <si>
    <t>INDIVIDUAL EXTRA BACONESE</t>
  </si>
  <si>
    <t>8700022</t>
  </si>
  <si>
    <t>INDIVIDUAL EXTRA SACHET MAIONESE 1 UN</t>
  </si>
  <si>
    <t>8800008</t>
  </si>
  <si>
    <t>INDIVIDUAL MOLHO BBQ</t>
  </si>
  <si>
    <t>8700023</t>
  </si>
  <si>
    <t>INDIVIDUAL MOLHO FURIOSO</t>
  </si>
  <si>
    <t>8800002</t>
  </si>
  <si>
    <t>INDIVIDUAL SACHET MAIONESE TEMPERADA</t>
  </si>
  <si>
    <t>8800017</t>
  </si>
  <si>
    <t>ONION RG</t>
  </si>
  <si>
    <t>INDIVIDUAL GD O-RINGS</t>
  </si>
  <si>
    <t>6018</t>
  </si>
  <si>
    <t>INDIVIDUAL O-RINGS MD</t>
  </si>
  <si>
    <t>6017</t>
  </si>
  <si>
    <t>INDIVIDUAL O-RINGS PQ</t>
  </si>
  <si>
    <t>7300005</t>
  </si>
  <si>
    <t>TOPPINGS</t>
  </si>
  <si>
    <t>INDIVIDUAL Extra Amendoin</t>
  </si>
  <si>
    <t>8600012</t>
  </si>
  <si>
    <t>INDIVIDUAL Extra Calda Ovomaltine</t>
  </si>
  <si>
    <t>8600016</t>
  </si>
  <si>
    <t>INDIVIDUAL Extra chocolate</t>
  </si>
  <si>
    <t>8600011</t>
  </si>
  <si>
    <t>INDIVIDUAL Extra Chocolate Picado</t>
  </si>
  <si>
    <t>8600008</t>
  </si>
  <si>
    <t>INDIVIDUAL Extra Cob Doce de Leite</t>
  </si>
  <si>
    <t>8600010</t>
  </si>
  <si>
    <t>INDIVIDUAL Extra Cob Morango</t>
  </si>
  <si>
    <t>8600009</t>
  </si>
  <si>
    <t>INDIVIDUAL Extra Extra Brownie</t>
  </si>
  <si>
    <t>8600031</t>
  </si>
  <si>
    <t>INDIVIDUAL Extra Extra Topping Gotas Oreo</t>
  </si>
  <si>
    <t>8000128</t>
  </si>
  <si>
    <t>INDIVIDUAL Extra Farofa Cookies (Nutella)</t>
  </si>
  <si>
    <t>8800019</t>
  </si>
  <si>
    <t>INDIVIDUAL Extra Nutella</t>
  </si>
  <si>
    <t>8800018</t>
  </si>
  <si>
    <t>INDIVIDUAL Extra Ovomaltine Extra</t>
  </si>
  <si>
    <t>8600002</t>
  </si>
  <si>
    <t>GUEST TRAC</t>
  </si>
  <si>
    <t>INDIVIDUAL GUEST TRAC</t>
  </si>
  <si>
    <t>6004585</t>
  </si>
  <si>
    <t>LANÇAMENTOS</t>
  </si>
  <si>
    <t xml:space="preserve"> GIGANTES EM DOBRO</t>
  </si>
  <si>
    <t xml:space="preserve"> GIGANTES EM DOBRO 1C</t>
  </si>
  <si>
    <t>6007337</t>
  </si>
  <si>
    <t xml:space="preserve"> GIGANTES EM DOBRO 2C</t>
  </si>
  <si>
    <t>6007338</t>
  </si>
  <si>
    <t>6007336</t>
  </si>
  <si>
    <t>BK MIX PISTACHE</t>
  </si>
  <si>
    <t>8000269</t>
  </si>
  <si>
    <t>BK MIX PISTACHE COM BROWNIE</t>
  </si>
  <si>
    <t>8000274</t>
  </si>
  <si>
    <t>BK MIX PISTACHE COM COOKIE</t>
  </si>
  <si>
    <t>8000272</t>
  </si>
  <si>
    <t>BK MIX PRESTIGIO</t>
  </si>
  <si>
    <t>8000288</t>
  </si>
  <si>
    <t>CASQUINHA R PISTACHE</t>
  </si>
  <si>
    <t>8000270</t>
  </si>
  <si>
    <t>CHICKEN FRIES</t>
  </si>
  <si>
    <t>BLISTER MOSTRADA E MEL</t>
  </si>
  <si>
    <t>8800029</t>
  </si>
  <si>
    <t>KING EM DOBRO DRIVE</t>
  </si>
  <si>
    <t>KING EM DOBRO + 1 C WHOP DRIVE</t>
  </si>
  <si>
    <t>6007176</t>
  </si>
  <si>
    <t>KING EM DOBRO + 2 C WHOP DRIVE</t>
  </si>
  <si>
    <t>6007177</t>
  </si>
  <si>
    <t>KING EM DOBRO WHOP DRIVE</t>
  </si>
  <si>
    <t>6007175</t>
  </si>
  <si>
    <t>SHAKE PRESTIGIO</t>
  </si>
  <si>
    <t>8000289</t>
  </si>
  <si>
    <t>THE KINGS</t>
  </si>
  <si>
    <t>COMBO THE KINGS</t>
  </si>
  <si>
    <t>6007425</t>
  </si>
  <si>
    <t>BK SUPREMA INDIV COSTELA</t>
  </si>
  <si>
    <t>8000275</t>
  </si>
  <si>
    <t>EXTRA CHUTNEY CEBOLA</t>
  </si>
  <si>
    <t>8800028</t>
  </si>
  <si>
    <t>EXTRA COSTELA</t>
  </si>
  <si>
    <t>7100197</t>
  </si>
  <si>
    <t>EXTRA MAIONESE DE ALHO</t>
  </si>
  <si>
    <t>8800026</t>
  </si>
  <si>
    <t>EXTRA MAIONESE DE ALHO BATATA</t>
  </si>
  <si>
    <t>8800027</t>
  </si>
  <si>
    <t>KING COSTELA</t>
  </si>
  <si>
    <t>7100196</t>
  </si>
  <si>
    <t>8700069</t>
  </si>
  <si>
    <t>EXTRA BOMBOM PRESTIGIO</t>
  </si>
  <si>
    <t>8700068</t>
  </si>
  <si>
    <t xml:space="preserve">Precos Atual </t>
  </si>
  <si>
    <t>Grupo alvim</t>
  </si>
  <si>
    <t xml:space="preserve">INDIVIDUAL CHICKEN DP BACON </t>
  </si>
  <si>
    <t xml:space="preserve">INDIVIDUAL CHICKEN DP BBC </t>
  </si>
  <si>
    <t xml:space="preserve">INDIVIDUAL CHICKEN DP FURIOSO </t>
  </si>
  <si>
    <t xml:space="preserve">COMBO CHICKEN DP BACON </t>
  </si>
  <si>
    <t xml:space="preserve">COMBO CHICKEN DP BBC </t>
  </si>
  <si>
    <t xml:space="preserve">COMBO CHICKEN DP FURIOSO </t>
  </si>
  <si>
    <t>MOLHAO BBQ + CEBOLA</t>
  </si>
  <si>
    <t xml:space="preserve">MOLHAO BBQ + FAROFA </t>
  </si>
  <si>
    <t>MOLHAO CHEDD + CEBOLA</t>
  </si>
  <si>
    <t>MOLHAO CHEDD + FAROFA</t>
  </si>
  <si>
    <t>MOLHAO FURI + CEBOLA</t>
  </si>
  <si>
    <t>MOLHAO FURI + FAROFA</t>
  </si>
  <si>
    <t>TOPPING CEBOLA CRISPY</t>
  </si>
  <si>
    <t>TOPPING FAROFA</t>
  </si>
  <si>
    <t>MOLHAO BARBECUE 280G</t>
  </si>
  <si>
    <t>MOLHAO CHEDDAR 240G</t>
  </si>
  <si>
    <t>MOLHAO FURIOSO 280G</t>
  </si>
  <si>
    <t>SET BK BALDE + FR CINEMA REG</t>
  </si>
  <si>
    <t>SET BALDE + RINGS M + 6 FRANGOS REG</t>
  </si>
  <si>
    <t>SET BALDE + FR REG</t>
  </si>
  <si>
    <t>BK LEVISSIMA</t>
  </si>
  <si>
    <t>BK MIX LEITE EM PO COM NUTELLA</t>
  </si>
  <si>
    <t>WHOPPER FAROFA BBQ</t>
  </si>
  <si>
    <t>SET 1C WHOPPER FAROFA BBQ REG</t>
  </si>
  <si>
    <t>SET 12 BRINQUEDOS REG</t>
  </si>
  <si>
    <t>SET 8 BRINQUEDOS REG</t>
  </si>
  <si>
    <t>SET 6 BRINQUEDOS REG</t>
  </si>
  <si>
    <t>BK5</t>
  </si>
  <si>
    <t>BK4</t>
  </si>
  <si>
    <t>BK3</t>
  </si>
  <si>
    <t>BK2</t>
  </si>
  <si>
    <t>BK1</t>
  </si>
  <si>
    <t>SET 1C CHEDDAR JR REG</t>
  </si>
  <si>
    <t>CHEDDAR JR</t>
  </si>
  <si>
    <t>COMBO MEGA STACKER 1,0</t>
  </si>
  <si>
    <t>COMBO MEGA STACKER CHEDDAR 1,0</t>
  </si>
  <si>
    <t>COMBO MEGA STACKER RODEIO 1,0</t>
  </si>
  <si>
    <t>INDIVIDUAL MEGA STACKER 1,0</t>
  </si>
  <si>
    <t>INDIVIDUAL MEGA STACKER CHEDDAR 1,0</t>
  </si>
  <si>
    <t>INDIVIDUAL MEGA STACKER RODEIO 1.0</t>
  </si>
  <si>
    <t>COMBO MEGA STACKER 2,0</t>
  </si>
  <si>
    <t>PREÇO GA</t>
  </si>
  <si>
    <t>DEZ 2025</t>
  </si>
  <si>
    <t>INDIVIDUAL MEGA STACKER FURIOSO  2.0</t>
  </si>
  <si>
    <t>INDIVIDUAL MEGA STACKER FURIOSO  3,0</t>
  </si>
  <si>
    <t>INDIVIDUAL MEGA STACKER FURIOSO  1.0</t>
  </si>
  <si>
    <t>COMBO MEGA STACKER FURIOSO 1,0</t>
  </si>
  <si>
    <t>COMBO MEGA STACKER FURIOSO 2.0</t>
  </si>
  <si>
    <t>COMBO MEGA STACKER FURIOSO 3.0</t>
  </si>
  <si>
    <t>DEZ 2025 DLV</t>
  </si>
  <si>
    <t>SAND BATATA OU BEBID</t>
  </si>
  <si>
    <t>TERCA CHEDDAR</t>
  </si>
  <si>
    <t>OFERTA 4 ITENS</t>
  </si>
  <si>
    <t>3 COMBOS ESPECIAIS</t>
  </si>
  <si>
    <t>4 COMBOS DO SEU JEITO</t>
  </si>
  <si>
    <t>2 COMBOS DO SEU JEITO</t>
  </si>
  <si>
    <t>MS RODEIO  1.0 LARICOMBO</t>
  </si>
  <si>
    <t>BALDE BATATA + 2 BEB</t>
  </si>
  <si>
    <t>2 SANDUBAS + 2 SANDUBINHAS + 2 BEBIDAS</t>
  </si>
  <si>
    <t>PROMOCOES IFFOD</t>
  </si>
  <si>
    <t>3 COMBOS SANDUBAS</t>
  </si>
  <si>
    <t>2 SANDUBAS + BATATA + BEBIDA</t>
  </si>
  <si>
    <t>1 SANDUBA</t>
  </si>
  <si>
    <t>4 VALOR +BALDE BATATA</t>
  </si>
  <si>
    <t>4 VALOR + BALDE DE BATATA + 2 BEB</t>
  </si>
  <si>
    <t>COMBO VALOR</t>
  </si>
  <si>
    <t>4 SANDUBINHAS</t>
  </si>
  <si>
    <t>6 SAND + BALDE DE BATATA FRITA</t>
  </si>
  <si>
    <t>2 SANDUBINHA + BATATA + BEB</t>
  </si>
  <si>
    <t>DUPLA BK</t>
  </si>
  <si>
    <t>COMBO MARI MARIA</t>
  </si>
  <si>
    <t>ESCOLHA 4 + 2 BATATAS + 2 BEBIDAS</t>
  </si>
  <si>
    <t>TERCA CHEDDAR 1C</t>
  </si>
  <si>
    <t>TERCA CHEDDAR 2C</t>
  </si>
  <si>
    <t>TERCA CHEDDAR BOX</t>
  </si>
  <si>
    <t>TERCA CHEDDAR BOX 1C</t>
  </si>
  <si>
    <t>TERCA CHEDDAR BOX 2C</t>
  </si>
  <si>
    <t>SET COMBO FAVORITO + VALOR DLV</t>
  </si>
  <si>
    <t>6002686</t>
  </si>
  <si>
    <t xml:space="preserve"> WHOPPER BBQ BACON</t>
  </si>
  <si>
    <t>COMBO WHOPPER FAROFA</t>
  </si>
  <si>
    <t>INDIVIDUAL MEGA STACKER FURIOSO  1,0</t>
  </si>
  <si>
    <t>INDIVIDUAL MEGA STACKER FURIOSO 3.0</t>
  </si>
  <si>
    <t>COMBO MEGA STACKER FURISO 2,0</t>
  </si>
  <si>
    <t>COMBO MEGA STACKER FURISO 3.0</t>
  </si>
  <si>
    <t>COMBO CHEDDA DP CRISPY</t>
  </si>
  <si>
    <t>INDIVIDUAL BALDE Bis XTRA</t>
  </si>
  <si>
    <t xml:space="preserve">INDIVIDUAL SHAKE PROTEICO </t>
  </si>
  <si>
    <t>INDIVIDUAL BATATA FURIOSA P</t>
  </si>
  <si>
    <t>EXTRA CALDA PRESTIGIO</t>
  </si>
  <si>
    <t xml:space="preserve">INDIVIDUAL BATATA GRANDE </t>
  </si>
  <si>
    <t>Zamp Q Mall</t>
  </si>
  <si>
    <t xml:space="preserve">não localizado </t>
  </si>
  <si>
    <t>COMBO MEGA STACKER RODEIO 1,1</t>
  </si>
  <si>
    <t>COMBO MEGA STACKER RODEIO 1,2</t>
  </si>
  <si>
    <t>NOVO DLV</t>
  </si>
  <si>
    <t>GA</t>
  </si>
  <si>
    <t>NOVO PREÇO</t>
  </si>
  <si>
    <t xml:space="preserve">Ga </t>
  </si>
  <si>
    <t xml:space="preserve">unitario </t>
  </si>
  <si>
    <t xml:space="preserve">1 combo </t>
  </si>
  <si>
    <t>Planilha edploy</t>
  </si>
  <si>
    <t xml:space="preserve">2 combos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</si>
</sst>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* #,##0.00_-;\-&quot;R$&quot;* #,##0.00_-;_-&quot;R$&quot;* &quot;-&quot;??_-;_-@_-"/>
    <numFmt numFmtId="164" formatCode="&quot;R$&quot;#,##0.00"/>
    <numFmt numFmtId="165" formatCode="_([$BRL]\ * #,##0.00_);_([$BRL]\ * \(#,##0.00\);_([$BRL]\ * &quot;-&quot;??_);_(@_)"/>
    <numFmt numFmtId="166" formatCode="_-[$R$-416]\ * #,##0.00_-;\-[$R$-416]\ * #,##0.00_-;_-[$R$-416]\ * &quot;-&quot;??_-;_-@_-"/>
    <numFmt numFmtId="167" formatCode="_-[$BRL]\ * #,##0.00_-;\-[$BRL]\ * #,##0.00_-;_-[$BRL]\ * &quot;-&quot;??_-;_-@_-"/>
  </numFmts>
  <fonts count="13" x14ac:knownFonts="1">
    <font>
      <sz val="11"/>
      <name val="Calibri"/>
    </font>
    <font>
      <b/>
      <sz val="14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4"/>
      <color theme="1"/>
      <name val="Calibri"/>
      <family val="2"/>
      <scheme val="minor"/>
    </font>
    <font>
      <sz val="11"/>
      <name val="Calibri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0" xfId="0" applyNumberFormat="1"/>
    <xf numFmtId="0" fontId="3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0" xfId="0" applyFill="1"/>
    <xf numFmtId="164" fontId="6" fillId="3" borderId="3" xfId="0" applyNumberFormat="1" applyFont="1" applyFill="1" applyBorder="1" applyAlignment="1">
      <alignment horizontal="center"/>
    </xf>
    <xf numFmtId="0" fontId="5" fillId="3" borderId="0" xfId="0" applyFont="1" applyFill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1" fillId="3" borderId="3" xfId="0" applyNumberFormat="1" applyFont="1" applyFill="1" applyBorder="1"/>
    <xf numFmtId="164" fontId="0" fillId="3" borderId="3" xfId="0" applyNumberFormat="1" applyFill="1" applyBorder="1"/>
    <xf numFmtId="0" fontId="0" fillId="3" borderId="3" xfId="0" applyFill="1" applyBorder="1"/>
    <xf numFmtId="0" fontId="5" fillId="3" borderId="3" xfId="0" applyFont="1" applyFill="1" applyBorder="1"/>
    <xf numFmtId="0" fontId="1" fillId="3" borderId="3" xfId="0" applyFont="1" applyFill="1" applyBorder="1" applyAlignment="1">
      <alignment horizontal="center"/>
    </xf>
    <xf numFmtId="165" fontId="1" fillId="3" borderId="2" xfId="0" applyNumberFormat="1" applyFont="1" applyFill="1" applyBorder="1"/>
    <xf numFmtId="0" fontId="4" fillId="3" borderId="3" xfId="0" applyFont="1" applyFill="1" applyBorder="1"/>
    <xf numFmtId="0" fontId="4" fillId="3" borderId="0" xfId="0" applyFont="1" applyFill="1"/>
    <xf numFmtId="0" fontId="0" fillId="3" borderId="5" xfId="0" applyFill="1" applyBorder="1"/>
    <xf numFmtId="0" fontId="4" fillId="3" borderId="5" xfId="0" applyFont="1" applyFill="1" applyBorder="1"/>
    <xf numFmtId="0" fontId="5" fillId="3" borderId="5" xfId="0" applyFont="1" applyFill="1" applyBorder="1"/>
    <xf numFmtId="0" fontId="0" fillId="4" borderId="3" xfId="0" applyFill="1" applyBorder="1"/>
    <xf numFmtId="0" fontId="4" fillId="4" borderId="3" xfId="0" applyFont="1" applyFill="1" applyBorder="1"/>
    <xf numFmtId="164" fontId="4" fillId="3" borderId="3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4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6" fillId="6" borderId="3" xfId="0" applyNumberFormat="1" applyFont="1" applyFill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0" fontId="5" fillId="6" borderId="3" xfId="0" applyFont="1" applyFill="1" applyBorder="1"/>
    <xf numFmtId="9" fontId="4" fillId="3" borderId="0" xfId="2" applyFont="1" applyFill="1" applyBorder="1" applyAlignment="1">
      <alignment horizontal="center"/>
    </xf>
    <xf numFmtId="9" fontId="4" fillId="3" borderId="0" xfId="2" applyFont="1" applyFill="1"/>
    <xf numFmtId="0" fontId="1" fillId="7" borderId="3" xfId="0" applyFont="1" applyFill="1" applyBorder="1" applyAlignment="1">
      <alignment horizontal="center"/>
    </xf>
    <xf numFmtId="164" fontId="7" fillId="7" borderId="3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64" fontId="4" fillId="7" borderId="5" xfId="0" applyNumberFormat="1" applyFont="1" applyFill="1" applyBorder="1" applyAlignment="1">
      <alignment horizontal="center"/>
    </xf>
    <xf numFmtId="0" fontId="4" fillId="7" borderId="0" xfId="0" applyFont="1" applyFill="1"/>
    <xf numFmtId="0" fontId="1" fillId="5" borderId="3" xfId="0" applyFont="1" applyFill="1" applyBorder="1" applyAlignment="1">
      <alignment horizontal="center"/>
    </xf>
    <xf numFmtId="165" fontId="1" fillId="5" borderId="3" xfId="0" applyNumberFormat="1" applyFont="1" applyFill="1" applyBorder="1"/>
    <xf numFmtId="0" fontId="4" fillId="5" borderId="3" xfId="0" applyFont="1" applyFill="1" applyBorder="1"/>
    <xf numFmtId="0" fontId="4" fillId="5" borderId="5" xfId="0" applyFont="1" applyFill="1" applyBorder="1"/>
    <xf numFmtId="0" fontId="4" fillId="5" borderId="0" xfId="0" applyFont="1" applyFill="1"/>
    <xf numFmtId="9" fontId="10" fillId="5" borderId="3" xfId="2" applyFont="1" applyFill="1" applyBorder="1" applyAlignment="1">
      <alignment horizontal="center"/>
    </xf>
    <xf numFmtId="9" fontId="10" fillId="5" borderId="3" xfId="2" applyFont="1" applyFill="1" applyBorder="1"/>
    <xf numFmtId="9" fontId="11" fillId="5" borderId="3" xfId="2" applyFont="1" applyFill="1" applyBorder="1"/>
    <xf numFmtId="9" fontId="11" fillId="5" borderId="5" xfId="2" applyFont="1" applyFill="1" applyBorder="1"/>
    <xf numFmtId="9" fontId="11" fillId="5" borderId="0" xfId="2" applyFont="1" applyFill="1"/>
    <xf numFmtId="9" fontId="1" fillId="3" borderId="3" xfId="2" applyFont="1" applyFill="1" applyBorder="1" applyAlignment="1">
      <alignment horizontal="center"/>
    </xf>
    <xf numFmtId="166" fontId="9" fillId="3" borderId="6" xfId="0" applyNumberFormat="1" applyFont="1" applyFill="1" applyBorder="1"/>
    <xf numFmtId="166" fontId="9" fillId="3" borderId="3" xfId="1" applyNumberFormat="1" applyFont="1" applyFill="1" applyBorder="1"/>
    <xf numFmtId="164" fontId="7" fillId="3" borderId="3" xfId="0" applyNumberFormat="1" applyFont="1" applyFill="1" applyBorder="1" applyAlignment="1">
      <alignment horizontal="center"/>
    </xf>
    <xf numFmtId="9" fontId="7" fillId="3" borderId="3" xfId="2" applyFont="1" applyFill="1" applyBorder="1" applyAlignment="1">
      <alignment horizontal="center"/>
    </xf>
    <xf numFmtId="166" fontId="9" fillId="3" borderId="2" xfId="1" applyNumberFormat="1" applyFont="1" applyFill="1" applyBorder="1"/>
    <xf numFmtId="9" fontId="7" fillId="3" borderId="0" xfId="2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9" fontId="1" fillId="7" borderId="3" xfId="2" applyFont="1" applyFill="1" applyBorder="1" applyAlignment="1">
      <alignment horizontal="center"/>
    </xf>
    <xf numFmtId="9" fontId="7" fillId="7" borderId="3" xfId="2" applyFont="1" applyFill="1" applyBorder="1" applyAlignment="1">
      <alignment horizontal="center"/>
    </xf>
    <xf numFmtId="9" fontId="7" fillId="7" borderId="2" xfId="2" applyFont="1" applyFill="1" applyBorder="1" applyAlignment="1">
      <alignment horizontal="center"/>
    </xf>
    <xf numFmtId="9" fontId="4" fillId="7" borderId="3" xfId="2" applyFont="1" applyFill="1" applyBorder="1" applyAlignment="1">
      <alignment horizontal="center"/>
    </xf>
    <xf numFmtId="9" fontId="4" fillId="7" borderId="5" xfId="2" applyFont="1" applyFill="1" applyBorder="1" applyAlignment="1">
      <alignment horizontal="center"/>
    </xf>
    <xf numFmtId="9" fontId="4" fillId="7" borderId="0" xfId="2" applyFont="1" applyFill="1"/>
    <xf numFmtId="0" fontId="0" fillId="0" borderId="0" xfId="0"/>
    <xf numFmtId="164" fontId="0" fillId="3" borderId="0" xfId="0" applyNumberFormat="1" applyFill="1"/>
    <xf numFmtId="164" fontId="0" fillId="0" borderId="0" xfId="0" applyNumberFormat="1" applyAlignment="1">
      <alignment horizontal="center"/>
    </xf>
    <xf numFmtId="0" fontId="4" fillId="0" borderId="7" xfId="0" applyFont="1" applyBorder="1" applyAlignment="1">
      <alignment vertical="top"/>
    </xf>
    <xf numFmtId="164" fontId="0" fillId="0" borderId="8" xfId="0" applyNumberFormat="1" applyBorder="1" applyAlignment="1">
      <alignment horizontal="center"/>
    </xf>
    <xf numFmtId="0" fontId="4" fillId="0" borderId="9" xfId="0" applyFont="1" applyBorder="1" applyAlignment="1">
      <alignment vertical="top"/>
    </xf>
    <xf numFmtId="164" fontId="0" fillId="0" borderId="10" xfId="0" applyNumberFormat="1" applyBorder="1" applyAlignment="1">
      <alignment horizontal="center"/>
    </xf>
    <xf numFmtId="0" fontId="4" fillId="0" borderId="11" xfId="0" applyFont="1" applyBorder="1" applyAlignment="1">
      <alignment vertical="top"/>
    </xf>
    <xf numFmtId="164" fontId="0" fillId="0" borderId="12" xfId="0" applyNumberFormat="1" applyBorder="1" applyAlignment="1">
      <alignment horizontal="center"/>
    </xf>
    <xf numFmtId="0" fontId="4" fillId="0" borderId="13" xfId="0" applyFont="1" applyBorder="1" applyAlignment="1">
      <alignment vertical="top"/>
    </xf>
    <xf numFmtId="0" fontId="0" fillId="0" borderId="0" xfId="0"/>
    <xf numFmtId="167" fontId="0" fillId="0" borderId="0" xfId="0" applyNumberFormat="1"/>
    <xf numFmtId="0" fontId="0" fillId="3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4" fontId="0" fillId="8" borderId="3" xfId="0" applyNumberFormat="1" applyFill="1" applyBorder="1"/>
    <xf numFmtId="164" fontId="12" fillId="8" borderId="3" xfId="0" applyNumberFormat="1" applyFont="1" applyFill="1" applyBorder="1"/>
    <xf numFmtId="0" fontId="0" fillId="0" borderId="0" xfId="0" applyAlignment="1">
      <alignment vertical="top"/>
    </xf>
    <xf numFmtId="0" fontId="0" fillId="0" borderId="0" xfId="0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94"/>
  <sheetViews>
    <sheetView tabSelected="1" topLeftCell="D1" zoomScale="85" zoomScaleNormal="85" workbookViewId="0">
      <selection activeCell="O176" sqref="O176"/>
    </sheetView>
  </sheetViews>
  <sheetFormatPr defaultRowHeight="18.75" x14ac:dyDescent="0.3"/>
  <cols>
    <col min="2" max="3" width="0" hidden="1" customWidth="1"/>
    <col min="4" max="4" width="49.85546875" style="26" customWidth="1"/>
    <col min="5" max="5" width="14.5703125" hidden="1" customWidth="1"/>
    <col min="6" max="6" width="15.28515625" style="18" hidden="1" customWidth="1"/>
    <col min="7" max="7" width="15.28515625" style="50" customWidth="1"/>
    <col min="8" max="8" width="5.5703125" style="55" hidden="1" customWidth="1"/>
    <col min="9" max="9" width="11.42578125" style="8" hidden="1" customWidth="1"/>
    <col min="10" max="10" width="15.7109375" hidden="1" customWidth="1"/>
    <col min="11" max="11" width="10.140625" hidden="1" customWidth="1"/>
    <col min="12" max="12" width="14" hidden="1" customWidth="1"/>
    <col min="13" max="13" width="11.140625" hidden="1" customWidth="1"/>
    <col min="14" max="14" width="9.5703125" hidden="1" customWidth="1"/>
    <col min="15" max="15" width="19" style="45" customWidth="1"/>
    <col min="16" max="16" width="19" style="69" hidden="1" customWidth="1"/>
    <col min="17" max="17" width="19" style="18" hidden="1" customWidth="1"/>
    <col min="18" max="18" width="19" style="40" hidden="1" customWidth="1"/>
    <col min="19" max="19" width="16.5703125" style="6" hidden="1" customWidth="1"/>
    <col min="20" max="20" width="10.7109375" bestFit="1" customWidth="1"/>
    <col min="21" max="21" width="46.140625" customWidth="1"/>
    <col min="22" max="22" width="14.42578125" style="3" bestFit="1" customWidth="1"/>
    <col min="23" max="23" width="10.7109375" hidden="1" customWidth="1"/>
    <col min="24" max="24" width="10.7109375" bestFit="1" customWidth="1"/>
    <col min="25" max="25" width="43.42578125" bestFit="1" customWidth="1"/>
    <col min="26" max="26" width="12.5703125" customWidth="1"/>
    <col min="27" max="27" width="23.28515625" bestFit="1" customWidth="1"/>
    <col min="28" max="28" width="15" bestFit="1" customWidth="1"/>
    <col min="29" max="29" width="15.7109375" bestFit="1" customWidth="1"/>
  </cols>
  <sheetData>
    <row r="1" spans="1:34" x14ac:dyDescent="0.3">
      <c r="A1" s="86" t="s">
        <v>0</v>
      </c>
      <c r="B1" s="87"/>
      <c r="C1" s="87"/>
      <c r="D1" s="87"/>
      <c r="E1" s="87"/>
      <c r="F1" s="15" t="s">
        <v>430</v>
      </c>
      <c r="G1" s="46" t="s">
        <v>485</v>
      </c>
      <c r="H1" s="51"/>
      <c r="I1" s="35" t="s">
        <v>387</v>
      </c>
      <c r="J1" s="9"/>
      <c r="K1" s="10"/>
      <c r="L1" s="10"/>
      <c r="M1" s="9"/>
      <c r="N1" s="9"/>
      <c r="O1" s="41" t="s">
        <v>430</v>
      </c>
      <c r="P1" s="64"/>
      <c r="Q1" s="15" t="s">
        <v>430</v>
      </c>
      <c r="R1" s="56"/>
      <c r="S1" s="57" t="s">
        <v>480</v>
      </c>
    </row>
    <row r="2" spans="1:34" x14ac:dyDescent="0.3">
      <c r="A2" s="1" t="s">
        <v>1</v>
      </c>
      <c r="B2" s="1" t="s">
        <v>2</v>
      </c>
      <c r="C2" s="1" t="s">
        <v>3</v>
      </c>
      <c r="D2" s="27" t="s">
        <v>4</v>
      </c>
      <c r="E2" s="1" t="s">
        <v>5</v>
      </c>
      <c r="F2" s="15" t="s">
        <v>431</v>
      </c>
      <c r="G2" s="46" t="s">
        <v>486</v>
      </c>
      <c r="H2" s="51"/>
      <c r="I2" s="35" t="s">
        <v>388</v>
      </c>
      <c r="J2" s="4" t="s">
        <v>420</v>
      </c>
      <c r="K2" s="4" t="s">
        <v>419</v>
      </c>
      <c r="L2" s="4" t="s">
        <v>418</v>
      </c>
      <c r="M2" s="4" t="s">
        <v>417</v>
      </c>
      <c r="N2" s="4" t="s">
        <v>416</v>
      </c>
      <c r="O2" s="41" t="s">
        <v>484</v>
      </c>
      <c r="P2" s="64"/>
      <c r="Q2" s="15" t="s">
        <v>438</v>
      </c>
      <c r="R2" s="56"/>
      <c r="S2" s="58"/>
    </row>
    <row r="3" spans="1:34" x14ac:dyDescent="0.3">
      <c r="A3" s="86" t="s">
        <v>6</v>
      </c>
      <c r="B3" s="86" t="s">
        <v>7</v>
      </c>
      <c r="C3" s="86" t="s">
        <v>8</v>
      </c>
      <c r="D3" s="28" t="s">
        <v>9</v>
      </c>
      <c r="E3" t="s">
        <v>10</v>
      </c>
      <c r="F3" s="11">
        <v>37.9</v>
      </c>
      <c r="G3" s="47">
        <v>37.9</v>
      </c>
      <c r="H3" s="52">
        <f>G3/I3</f>
        <v>1</v>
      </c>
      <c r="I3" s="36">
        <v>37.9</v>
      </c>
      <c r="J3" s="32">
        <v>32.9</v>
      </c>
      <c r="K3" s="32">
        <v>33.9</v>
      </c>
      <c r="L3" s="32">
        <v>34.9</v>
      </c>
      <c r="M3" s="32">
        <v>35.9</v>
      </c>
      <c r="N3" s="32">
        <v>36.9</v>
      </c>
      <c r="O3" s="42">
        <v>45.9</v>
      </c>
      <c r="P3" s="65">
        <f>O3/S3</f>
        <v>1.2408759124087589</v>
      </c>
      <c r="Q3" s="59">
        <v>44.9</v>
      </c>
      <c r="R3" s="60">
        <f>Q3/S3</f>
        <v>1.2138415788050823</v>
      </c>
      <c r="S3" s="58">
        <v>36.99</v>
      </c>
    </row>
    <row r="4" spans="1:34" x14ac:dyDescent="0.3">
      <c r="A4" s="86" t="s">
        <v>6</v>
      </c>
      <c r="B4" s="86" t="s">
        <v>7</v>
      </c>
      <c r="C4" s="86" t="s">
        <v>8</v>
      </c>
      <c r="D4" s="28" t="s">
        <v>11</v>
      </c>
      <c r="E4" t="s">
        <v>12</v>
      </c>
      <c r="F4" s="11">
        <v>26.8</v>
      </c>
      <c r="G4" s="47">
        <v>13.9</v>
      </c>
      <c r="H4" s="52">
        <f t="shared" ref="H4:H67" si="0">G4/I4</f>
        <v>1.0775193798449612</v>
      </c>
      <c r="I4" s="36">
        <v>12.9</v>
      </c>
      <c r="J4" s="13"/>
      <c r="K4" s="13"/>
      <c r="L4" s="13"/>
      <c r="M4" s="13"/>
      <c r="N4" s="13"/>
      <c r="O4" s="42">
        <v>16.899999999999999</v>
      </c>
      <c r="P4" s="65">
        <f t="shared" ref="P4:P65" si="1">O4/S4</f>
        <v>1.056910569105691</v>
      </c>
      <c r="Q4" s="59">
        <v>33.9</v>
      </c>
      <c r="R4" s="60">
        <f t="shared" ref="R4:R67" si="2">Q4/S4</f>
        <v>2.120075046904315</v>
      </c>
      <c r="S4" s="58">
        <v>15.99</v>
      </c>
      <c r="AB4" s="80"/>
    </row>
    <row r="5" spans="1:34" x14ac:dyDescent="0.3">
      <c r="A5" s="86" t="s">
        <v>6</v>
      </c>
      <c r="B5" s="86" t="s">
        <v>7</v>
      </c>
      <c r="C5" s="86" t="s">
        <v>8</v>
      </c>
      <c r="D5" s="28" t="s">
        <v>13</v>
      </c>
      <c r="E5" t="s">
        <v>14</v>
      </c>
      <c r="F5" s="11">
        <v>37.9</v>
      </c>
      <c r="G5" s="47">
        <v>37.9</v>
      </c>
      <c r="H5" s="52">
        <f t="shared" si="0"/>
        <v>1.02710027100271</v>
      </c>
      <c r="I5" s="36">
        <v>36.9</v>
      </c>
      <c r="J5" s="32">
        <v>33.9</v>
      </c>
      <c r="K5" s="32">
        <v>34.9</v>
      </c>
      <c r="L5" s="32">
        <v>35.9</v>
      </c>
      <c r="M5" s="32">
        <v>36.9</v>
      </c>
      <c r="N5" s="32">
        <v>37.9</v>
      </c>
      <c r="O5" s="42">
        <v>45.9</v>
      </c>
      <c r="P5" s="65">
        <f t="shared" si="1"/>
        <v>1.5833045877888927</v>
      </c>
      <c r="Q5" s="59">
        <v>44.9</v>
      </c>
      <c r="R5" s="60">
        <f t="shared" si="2"/>
        <v>1.5488099344601587</v>
      </c>
      <c r="S5" s="61">
        <v>28.99</v>
      </c>
      <c r="AB5" s="80"/>
    </row>
    <row r="6" spans="1:34" x14ac:dyDescent="0.3">
      <c r="A6" s="86" t="s">
        <v>6</v>
      </c>
      <c r="B6" s="86" t="s">
        <v>16</v>
      </c>
      <c r="C6" s="86" t="s">
        <v>8</v>
      </c>
      <c r="D6" s="28" t="s">
        <v>17</v>
      </c>
      <c r="E6" t="s">
        <v>18</v>
      </c>
      <c r="F6" s="11">
        <v>25.9</v>
      </c>
      <c r="G6" s="47">
        <v>25.9</v>
      </c>
      <c r="H6" s="52">
        <f t="shared" si="0"/>
        <v>1.0401606425702812</v>
      </c>
      <c r="I6" s="36">
        <v>24.9</v>
      </c>
      <c r="J6" s="32">
        <v>21.9</v>
      </c>
      <c r="K6" s="32">
        <v>22.9</v>
      </c>
      <c r="L6" s="32">
        <v>23.9</v>
      </c>
      <c r="M6" s="32">
        <v>24.9</v>
      </c>
      <c r="N6" s="32">
        <v>25.9</v>
      </c>
      <c r="O6" s="42">
        <v>30.9</v>
      </c>
      <c r="P6" s="65">
        <f t="shared" si="1"/>
        <v>0.88310945984567013</v>
      </c>
      <c r="Q6" s="59">
        <v>23.9</v>
      </c>
      <c r="R6" s="60">
        <f t="shared" si="2"/>
        <v>0.68305230065733058</v>
      </c>
      <c r="S6" s="58">
        <v>34.99</v>
      </c>
      <c r="AB6" s="80"/>
      <c r="AE6" s="80"/>
      <c r="AF6" s="80"/>
      <c r="AG6" s="80"/>
      <c r="AH6" s="80"/>
    </row>
    <row r="7" spans="1:34" x14ac:dyDescent="0.3">
      <c r="A7" s="86" t="s">
        <v>6</v>
      </c>
      <c r="B7" s="86" t="s">
        <v>16</v>
      </c>
      <c r="C7" s="86" t="s">
        <v>8</v>
      </c>
      <c r="D7" s="28" t="s">
        <v>19</v>
      </c>
      <c r="E7" t="s">
        <v>20</v>
      </c>
      <c r="F7" s="11">
        <v>25.9</v>
      </c>
      <c r="G7" s="47">
        <v>25.9</v>
      </c>
      <c r="H7" s="52">
        <f t="shared" si="0"/>
        <v>1.0401606425702812</v>
      </c>
      <c r="I7" s="36">
        <v>24.9</v>
      </c>
      <c r="J7" s="32">
        <v>21.9</v>
      </c>
      <c r="K7" s="32">
        <v>22.9</v>
      </c>
      <c r="L7" s="32">
        <v>23.9</v>
      </c>
      <c r="M7" s="32">
        <v>24.9</v>
      </c>
      <c r="N7" s="32">
        <v>25.9</v>
      </c>
      <c r="O7" s="42">
        <v>30.9</v>
      </c>
      <c r="P7" s="65">
        <f t="shared" si="1"/>
        <v>1.4714285714285713</v>
      </c>
      <c r="Q7" s="59">
        <v>31.5</v>
      </c>
      <c r="R7" s="60">
        <f t="shared" si="2"/>
        <v>1.5</v>
      </c>
      <c r="S7" s="58">
        <v>21</v>
      </c>
      <c r="AB7" s="80"/>
    </row>
    <row r="8" spans="1:34" x14ac:dyDescent="0.3">
      <c r="A8" s="86" t="s">
        <v>6</v>
      </c>
      <c r="B8" s="86" t="s">
        <v>16</v>
      </c>
      <c r="C8" s="86" t="s">
        <v>8</v>
      </c>
      <c r="D8" s="28" t="s">
        <v>21</v>
      </c>
      <c r="E8" t="s">
        <v>22</v>
      </c>
      <c r="F8" s="11">
        <v>21.9</v>
      </c>
      <c r="G8" s="47">
        <v>21.9</v>
      </c>
      <c r="H8" s="52">
        <f t="shared" si="0"/>
        <v>1.0478468899521531</v>
      </c>
      <c r="I8" s="36">
        <v>20.9</v>
      </c>
      <c r="J8" s="32">
        <v>17.899999999999999</v>
      </c>
      <c r="K8" s="32">
        <v>18.899999999999999</v>
      </c>
      <c r="L8" s="32">
        <v>19.899999999999999</v>
      </c>
      <c r="M8" s="32">
        <v>20.9</v>
      </c>
      <c r="N8" s="32">
        <v>21.9</v>
      </c>
      <c r="O8" s="42">
        <v>26.9</v>
      </c>
      <c r="P8" s="65">
        <f t="shared" si="1"/>
        <v>0.86802194256211684</v>
      </c>
      <c r="Q8" s="59">
        <v>25.9</v>
      </c>
      <c r="R8" s="60">
        <f t="shared" si="2"/>
        <v>0.83575346886092283</v>
      </c>
      <c r="S8" s="58">
        <v>30.99</v>
      </c>
      <c r="AB8" s="80"/>
    </row>
    <row r="9" spans="1:34" x14ac:dyDescent="0.3">
      <c r="A9" s="86" t="s">
        <v>6</v>
      </c>
      <c r="B9" s="86" t="s">
        <v>16</v>
      </c>
      <c r="C9" s="86" t="s">
        <v>8</v>
      </c>
      <c r="D9" s="28" t="s">
        <v>23</v>
      </c>
      <c r="E9" t="s">
        <v>24</v>
      </c>
      <c r="F9" s="11">
        <v>23.9</v>
      </c>
      <c r="G9" s="47">
        <v>24.9</v>
      </c>
      <c r="H9" s="52">
        <f t="shared" si="0"/>
        <v>1.0873362445414847</v>
      </c>
      <c r="I9" s="36">
        <v>22.9</v>
      </c>
      <c r="J9" s="32">
        <v>19.899999999999999</v>
      </c>
      <c r="K9" s="32">
        <v>20.9</v>
      </c>
      <c r="L9" s="32">
        <v>21.9</v>
      </c>
      <c r="M9" s="32">
        <v>22.9</v>
      </c>
      <c r="N9" s="32">
        <v>23.9</v>
      </c>
      <c r="O9" s="42">
        <v>28.9</v>
      </c>
      <c r="P9" s="65">
        <f t="shared" si="1"/>
        <v>0.87602303728402542</v>
      </c>
      <c r="Q9" s="59">
        <v>28.2</v>
      </c>
      <c r="R9" s="60">
        <f t="shared" si="2"/>
        <v>0.85480448620794169</v>
      </c>
      <c r="S9" s="58">
        <v>32.99</v>
      </c>
      <c r="AB9" s="80"/>
    </row>
    <row r="10" spans="1:34" x14ac:dyDescent="0.3">
      <c r="A10" s="86" t="s">
        <v>6</v>
      </c>
      <c r="B10" s="86" t="s">
        <v>16</v>
      </c>
      <c r="C10" s="86" t="s">
        <v>8</v>
      </c>
      <c r="D10" s="28" t="s">
        <v>25</v>
      </c>
      <c r="E10" t="s">
        <v>26</v>
      </c>
      <c r="F10" s="11">
        <v>23.9</v>
      </c>
      <c r="G10" s="47">
        <v>24.9</v>
      </c>
      <c r="H10" s="52">
        <f t="shared" si="0"/>
        <v>1.0418410041841004</v>
      </c>
      <c r="I10" s="36">
        <v>23.9</v>
      </c>
      <c r="J10" s="32">
        <v>19.899999999999999</v>
      </c>
      <c r="K10" s="32">
        <v>20.9</v>
      </c>
      <c r="L10" s="32">
        <v>21.9</v>
      </c>
      <c r="M10" s="32">
        <v>22.9</v>
      </c>
      <c r="N10" s="32">
        <v>23.9</v>
      </c>
      <c r="O10" s="42">
        <v>29.9</v>
      </c>
      <c r="P10" s="65">
        <f t="shared" si="1"/>
        <v>0.90633525310700203</v>
      </c>
      <c r="Q10" s="59">
        <v>28.2</v>
      </c>
      <c r="R10" s="60">
        <f t="shared" si="2"/>
        <v>0.85480448620794169</v>
      </c>
      <c r="S10" s="58">
        <v>32.99</v>
      </c>
      <c r="AB10" s="80"/>
    </row>
    <row r="11" spans="1:34" x14ac:dyDescent="0.3">
      <c r="A11" s="86" t="s">
        <v>6</v>
      </c>
      <c r="B11" s="86" t="s">
        <v>16</v>
      </c>
      <c r="C11" s="86" t="s">
        <v>8</v>
      </c>
      <c r="D11" s="28" t="s">
        <v>27</v>
      </c>
      <c r="E11" t="s">
        <v>28</v>
      </c>
      <c r="F11" s="11">
        <v>25.9</v>
      </c>
      <c r="G11" s="47">
        <v>26.9</v>
      </c>
      <c r="H11" s="52">
        <f t="shared" si="0"/>
        <v>1.0386100386100385</v>
      </c>
      <c r="I11" s="36">
        <v>25.9</v>
      </c>
      <c r="J11" s="32">
        <v>21.9</v>
      </c>
      <c r="K11" s="32">
        <v>22.9</v>
      </c>
      <c r="L11" s="32">
        <v>23.9</v>
      </c>
      <c r="M11" s="32">
        <v>24.9</v>
      </c>
      <c r="N11" s="32">
        <v>25.9</v>
      </c>
      <c r="O11" s="42">
        <v>32.9</v>
      </c>
      <c r="P11" s="65">
        <f t="shared" si="1"/>
        <v>0.88942957556096236</v>
      </c>
      <c r="Q11" s="59">
        <v>30.5</v>
      </c>
      <c r="R11" s="60">
        <f t="shared" si="2"/>
        <v>0.82454717491213836</v>
      </c>
      <c r="S11" s="58">
        <v>36.99</v>
      </c>
      <c r="AB11" s="80"/>
    </row>
    <row r="12" spans="1:34" x14ac:dyDescent="0.3">
      <c r="A12" s="86" t="s">
        <v>6</v>
      </c>
      <c r="B12" s="86" t="s">
        <v>16</v>
      </c>
      <c r="C12" s="86" t="s">
        <v>8</v>
      </c>
      <c r="D12" s="28" t="s">
        <v>29</v>
      </c>
      <c r="E12" t="s">
        <v>30</v>
      </c>
      <c r="F12" s="11">
        <v>26.9</v>
      </c>
      <c r="G12" s="47">
        <v>26.9</v>
      </c>
      <c r="H12" s="52">
        <f t="shared" si="0"/>
        <v>1.0803212851405624</v>
      </c>
      <c r="I12" s="36">
        <v>24.9</v>
      </c>
      <c r="J12" s="32">
        <v>22.9</v>
      </c>
      <c r="K12" s="32">
        <v>23.9</v>
      </c>
      <c r="L12" s="32">
        <v>24.9</v>
      </c>
      <c r="M12" s="32">
        <v>25.9</v>
      </c>
      <c r="N12" s="32">
        <v>26.9</v>
      </c>
      <c r="O12" s="42">
        <v>32.9</v>
      </c>
      <c r="P12" s="65">
        <f t="shared" si="1"/>
        <v>0.84380610412926382</v>
      </c>
      <c r="Q12" s="59">
        <v>31.9</v>
      </c>
      <c r="R12" s="60">
        <f t="shared" si="2"/>
        <v>0.81815850218004604</v>
      </c>
      <c r="S12" s="58">
        <v>38.99</v>
      </c>
      <c r="AB12" s="80"/>
    </row>
    <row r="13" spans="1:34" x14ac:dyDescent="0.3">
      <c r="A13" s="2"/>
      <c r="B13" s="2"/>
      <c r="C13" s="2"/>
      <c r="D13" s="28" t="s">
        <v>32</v>
      </c>
      <c r="F13" s="11"/>
      <c r="G13" s="47">
        <v>42.9</v>
      </c>
      <c r="H13" s="52">
        <f t="shared" si="0"/>
        <v>1.0751879699248121</v>
      </c>
      <c r="I13" s="36">
        <v>39.9</v>
      </c>
      <c r="J13" s="32">
        <v>36.9</v>
      </c>
      <c r="K13" s="32">
        <v>37.9</v>
      </c>
      <c r="L13" s="32">
        <v>38.9</v>
      </c>
      <c r="M13" s="32">
        <v>39.9</v>
      </c>
      <c r="N13" s="32">
        <v>40.9</v>
      </c>
      <c r="O13" s="42">
        <v>48.9</v>
      </c>
      <c r="P13" s="65">
        <f t="shared" si="1"/>
        <v>1.1374738311235171</v>
      </c>
      <c r="Q13" s="59">
        <v>49.4</v>
      </c>
      <c r="R13" s="60">
        <f t="shared" si="2"/>
        <v>1.1491044428936961</v>
      </c>
      <c r="S13" s="58">
        <v>42.99</v>
      </c>
      <c r="AB13" s="80"/>
    </row>
    <row r="14" spans="1:34" x14ac:dyDescent="0.3">
      <c r="A14" s="86" t="s">
        <v>31</v>
      </c>
      <c r="B14" s="86" t="s">
        <v>7</v>
      </c>
      <c r="C14" s="86" t="s">
        <v>3</v>
      </c>
      <c r="D14" s="28" t="s">
        <v>474</v>
      </c>
      <c r="E14" t="s">
        <v>33</v>
      </c>
      <c r="F14" s="11">
        <v>41.9</v>
      </c>
      <c r="G14" s="47">
        <v>41.9</v>
      </c>
      <c r="H14" s="52">
        <f t="shared" si="0"/>
        <v>1.050125313283208</v>
      </c>
      <c r="I14" s="36">
        <v>39.9</v>
      </c>
      <c r="J14" s="32">
        <v>37.9</v>
      </c>
      <c r="K14" s="32">
        <v>38.9</v>
      </c>
      <c r="L14" s="32">
        <v>39.9</v>
      </c>
      <c r="M14" s="32">
        <v>40.9</v>
      </c>
      <c r="N14" s="32">
        <v>41.9</v>
      </c>
      <c r="O14" s="42">
        <v>49.9</v>
      </c>
      <c r="P14" s="65"/>
      <c r="Q14" s="59">
        <v>49.4</v>
      </c>
      <c r="R14" s="60" t="e">
        <f t="shared" si="2"/>
        <v>#DIV/0!</v>
      </c>
      <c r="S14" s="58"/>
    </row>
    <row r="15" spans="1:34" ht="19.5" thickBot="1" x14ac:dyDescent="0.35">
      <c r="A15" s="86" t="s">
        <v>31</v>
      </c>
      <c r="B15" s="86" t="s">
        <v>7</v>
      </c>
      <c r="C15" s="86" t="s">
        <v>3</v>
      </c>
      <c r="D15" s="28" t="s">
        <v>34</v>
      </c>
      <c r="E15" t="s">
        <v>35</v>
      </c>
      <c r="F15" s="11">
        <v>48.8</v>
      </c>
      <c r="G15" s="47">
        <v>36.9</v>
      </c>
      <c r="H15" s="52">
        <f t="shared" si="0"/>
        <v>1</v>
      </c>
      <c r="I15" s="36">
        <v>36.9</v>
      </c>
      <c r="J15" s="13"/>
      <c r="K15" s="13"/>
      <c r="L15" s="13"/>
      <c r="M15" s="13"/>
      <c r="N15" s="13"/>
      <c r="O15" s="42">
        <v>43.9</v>
      </c>
      <c r="P15" s="65"/>
      <c r="Q15" s="59">
        <v>57.5</v>
      </c>
      <c r="R15" s="60" t="e">
        <f t="shared" si="2"/>
        <v>#VALUE!</v>
      </c>
      <c r="S15" s="58" t="s">
        <v>481</v>
      </c>
      <c r="U15" s="28" t="s">
        <v>174</v>
      </c>
      <c r="V15" s="11">
        <v>18.899999999999999</v>
      </c>
      <c r="W15" s="81">
        <f>V15-16.9</f>
        <v>2</v>
      </c>
      <c r="X15" s="81">
        <f>25.9+W15</f>
        <v>27.9</v>
      </c>
      <c r="Z15" s="72" t="s">
        <v>487</v>
      </c>
      <c r="AA15" s="82" t="s">
        <v>488</v>
      </c>
      <c r="AB15" s="82" t="s">
        <v>489</v>
      </c>
      <c r="AC15" s="83" t="s">
        <v>490</v>
      </c>
      <c r="AD15" s="82" t="s">
        <v>491</v>
      </c>
      <c r="AE15" s="83" t="s">
        <v>490</v>
      </c>
    </row>
    <row r="16" spans="1:34" x14ac:dyDescent="0.3">
      <c r="A16" s="86" t="s">
        <v>31</v>
      </c>
      <c r="B16" s="86" t="s">
        <v>7</v>
      </c>
      <c r="C16" s="86" t="s">
        <v>3</v>
      </c>
      <c r="D16" s="28" t="s">
        <v>36</v>
      </c>
      <c r="E16" t="s">
        <v>37</v>
      </c>
      <c r="F16" s="11">
        <v>40.799999999999997</v>
      </c>
      <c r="G16" s="47">
        <v>35.9</v>
      </c>
      <c r="H16" s="52">
        <f t="shared" si="0"/>
        <v>1.0286532951289398</v>
      </c>
      <c r="I16" s="36">
        <v>34.9</v>
      </c>
      <c r="J16" s="13"/>
      <c r="K16" s="13"/>
      <c r="L16" s="13"/>
      <c r="M16" s="13"/>
      <c r="N16" s="13"/>
      <c r="O16" s="42">
        <v>42.9</v>
      </c>
      <c r="P16" s="65">
        <f t="shared" si="1"/>
        <v>1.4798206278026906</v>
      </c>
      <c r="Q16" s="59">
        <v>48.1</v>
      </c>
      <c r="R16" s="60">
        <f t="shared" si="2"/>
        <v>1.6591928251121077</v>
      </c>
      <c r="S16" s="58">
        <v>28.99</v>
      </c>
      <c r="U16" s="28" t="s">
        <v>176</v>
      </c>
      <c r="V16" s="11">
        <v>18.899999999999999</v>
      </c>
      <c r="W16" s="81">
        <f t="shared" ref="W16:W22" si="3">V16-16.9</f>
        <v>2</v>
      </c>
      <c r="X16" s="81">
        <f t="shared" ref="X16:X22" si="4">25.9+W16</f>
        <v>27.9</v>
      </c>
      <c r="Y16" s="73" t="s">
        <v>21</v>
      </c>
      <c r="Z16" s="74">
        <v>25.9</v>
      </c>
      <c r="AA16" s="12">
        <f>Z16/2</f>
        <v>12.95</v>
      </c>
      <c r="AB16" s="12">
        <f>Z16+16.9</f>
        <v>42.8</v>
      </c>
      <c r="AC16" s="84">
        <f>SUM(30-AB16)/2</f>
        <v>-6.3999999999999986</v>
      </c>
      <c r="AD16" s="12">
        <f>16.9+16.9+Z16</f>
        <v>59.699999999999996</v>
      </c>
      <c r="AE16" s="85">
        <f>(57.6-AD16)/2</f>
        <v>-1.0499999999999972</v>
      </c>
      <c r="AF16" s="80"/>
      <c r="AG16" s="80"/>
      <c r="AH16" s="80"/>
    </row>
    <row r="17" spans="1:34" ht="19.5" thickBot="1" x14ac:dyDescent="0.35">
      <c r="A17" s="86" t="s">
        <v>31</v>
      </c>
      <c r="B17" s="86" t="s">
        <v>7</v>
      </c>
      <c r="C17" s="86" t="s">
        <v>3</v>
      </c>
      <c r="D17" s="28" t="s">
        <v>38</v>
      </c>
      <c r="E17" t="s">
        <v>39</v>
      </c>
      <c r="F17" s="11">
        <v>43.9</v>
      </c>
      <c r="G17" s="47">
        <v>43.9</v>
      </c>
      <c r="H17" s="52">
        <f t="shared" si="0"/>
        <v>1</v>
      </c>
      <c r="I17" s="36">
        <v>43.9</v>
      </c>
      <c r="J17" s="32">
        <v>38.9</v>
      </c>
      <c r="K17" s="32">
        <v>38.9</v>
      </c>
      <c r="L17" s="32">
        <v>40.9</v>
      </c>
      <c r="M17" s="32">
        <v>41.9</v>
      </c>
      <c r="N17" s="32">
        <v>42.9</v>
      </c>
      <c r="O17" s="42">
        <v>42.9</v>
      </c>
      <c r="P17" s="65">
        <f t="shared" si="1"/>
        <v>0.93281148075668618</v>
      </c>
      <c r="Q17" s="59">
        <v>51.9</v>
      </c>
      <c r="R17" s="60">
        <f t="shared" si="2"/>
        <v>1.1285061969993475</v>
      </c>
      <c r="S17" s="58">
        <v>45.99</v>
      </c>
      <c r="U17" s="28" t="s">
        <v>178</v>
      </c>
      <c r="V17" s="11">
        <v>19.899999999999999</v>
      </c>
      <c r="W17" s="81">
        <f t="shared" si="3"/>
        <v>3</v>
      </c>
      <c r="X17" s="81">
        <f t="shared" si="4"/>
        <v>28.9</v>
      </c>
      <c r="Y17" s="75" t="s">
        <v>23</v>
      </c>
      <c r="Z17" s="76">
        <v>25.9</v>
      </c>
      <c r="AA17" s="12">
        <f t="shared" ref="AA17:AA23" si="5">Z17/2</f>
        <v>12.95</v>
      </c>
      <c r="AB17" s="12">
        <f t="shared" ref="AB17:AB23" si="6">Z17+16.9</f>
        <v>42.8</v>
      </c>
      <c r="AC17" s="84">
        <f t="shared" ref="AC17:AC23" si="7">SUM(30-AB17)/2</f>
        <v>-6.3999999999999986</v>
      </c>
      <c r="AD17" s="12">
        <f t="shared" ref="AD17:AD23" si="8">16.9+16.9+Z17</f>
        <v>59.699999999999996</v>
      </c>
      <c r="AE17" s="85">
        <f t="shared" ref="AE17:AE23" si="9">(57.6-AD17)/2</f>
        <v>-1.0499999999999972</v>
      </c>
      <c r="AF17" s="80"/>
      <c r="AG17" s="80"/>
      <c r="AH17" s="80"/>
    </row>
    <row r="18" spans="1:34" ht="19.5" thickBot="1" x14ac:dyDescent="0.35">
      <c r="A18" s="86" t="s">
        <v>31</v>
      </c>
      <c r="B18" s="2" t="s">
        <v>15</v>
      </c>
      <c r="C18" s="2" t="s">
        <v>3</v>
      </c>
      <c r="D18" s="28" t="s">
        <v>40</v>
      </c>
      <c r="E18" t="s">
        <v>41</v>
      </c>
      <c r="F18" s="11">
        <v>39.9</v>
      </c>
      <c r="G18" s="47">
        <v>39.9</v>
      </c>
      <c r="H18" s="52">
        <f t="shared" si="0"/>
        <v>1</v>
      </c>
      <c r="I18" s="36">
        <v>39.9</v>
      </c>
      <c r="J18" s="13"/>
      <c r="K18" s="13"/>
      <c r="L18" s="13"/>
      <c r="M18" s="13"/>
      <c r="N18" s="13"/>
      <c r="O18" s="42">
        <v>47.9</v>
      </c>
      <c r="P18" s="65"/>
      <c r="Q18" s="59">
        <v>45.9</v>
      </c>
      <c r="R18" s="60" t="e">
        <f t="shared" si="2"/>
        <v>#VALUE!</v>
      </c>
      <c r="S18" s="58" t="s">
        <v>481</v>
      </c>
      <c r="U18" s="28" t="s">
        <v>180</v>
      </c>
      <c r="V18" s="11">
        <v>19.899999999999999</v>
      </c>
      <c r="W18" s="81">
        <f t="shared" si="3"/>
        <v>3</v>
      </c>
      <c r="X18" s="81">
        <f t="shared" si="4"/>
        <v>28.9</v>
      </c>
      <c r="Y18" s="77" t="s">
        <v>25</v>
      </c>
      <c r="Z18" s="78">
        <v>34.9</v>
      </c>
      <c r="AA18" s="12">
        <f t="shared" si="5"/>
        <v>17.45</v>
      </c>
      <c r="AB18" s="12">
        <f t="shared" si="6"/>
        <v>51.8</v>
      </c>
      <c r="AC18" s="84">
        <f t="shared" si="7"/>
        <v>-10.899999999999999</v>
      </c>
      <c r="AD18" s="12">
        <f t="shared" si="8"/>
        <v>68.699999999999989</v>
      </c>
      <c r="AE18" s="85">
        <f t="shared" si="9"/>
        <v>-5.5499999999999936</v>
      </c>
      <c r="AF18" s="80"/>
      <c r="AG18" s="80"/>
      <c r="AH18" s="80"/>
    </row>
    <row r="19" spans="1:34" x14ac:dyDescent="0.3">
      <c r="A19" s="86" t="s">
        <v>31</v>
      </c>
      <c r="B19" s="86" t="s">
        <v>16</v>
      </c>
      <c r="C19" s="86" t="s">
        <v>3</v>
      </c>
      <c r="D19" s="28" t="s">
        <v>42</v>
      </c>
      <c r="E19" t="s">
        <v>43</v>
      </c>
      <c r="F19" s="11">
        <v>40.9</v>
      </c>
      <c r="G19" s="47">
        <v>39.9</v>
      </c>
      <c r="H19" s="52">
        <f t="shared" si="0"/>
        <v>1</v>
      </c>
      <c r="I19" s="36">
        <v>39.9</v>
      </c>
      <c r="J19" s="32">
        <v>36.9</v>
      </c>
      <c r="K19" s="32">
        <v>37.9</v>
      </c>
      <c r="L19" s="32">
        <v>38.9</v>
      </c>
      <c r="M19" s="32">
        <v>39.9</v>
      </c>
      <c r="N19" s="32">
        <v>40.9</v>
      </c>
      <c r="O19" s="42">
        <v>47.9</v>
      </c>
      <c r="P19" s="65">
        <f t="shared" si="1"/>
        <v>1.1685777018785068</v>
      </c>
      <c r="Q19" s="59">
        <v>39.9</v>
      </c>
      <c r="R19" s="60">
        <f t="shared" si="2"/>
        <v>0.97340814832886058</v>
      </c>
      <c r="S19" s="58">
        <v>40.99</v>
      </c>
      <c r="U19" s="28" t="s">
        <v>183</v>
      </c>
      <c r="V19" s="11">
        <v>21.9</v>
      </c>
      <c r="W19" s="81">
        <f t="shared" si="3"/>
        <v>5</v>
      </c>
      <c r="X19" s="81">
        <f t="shared" si="4"/>
        <v>30.9</v>
      </c>
      <c r="Y19" s="73" t="s">
        <v>19</v>
      </c>
      <c r="Z19" s="74">
        <v>36.9</v>
      </c>
      <c r="AA19" s="12">
        <f t="shared" si="5"/>
        <v>18.45</v>
      </c>
      <c r="AB19" s="12">
        <f t="shared" si="6"/>
        <v>53.8</v>
      </c>
      <c r="AC19" s="84">
        <f t="shared" si="7"/>
        <v>-11.899999999999999</v>
      </c>
      <c r="AD19" s="12">
        <f t="shared" si="8"/>
        <v>70.699999999999989</v>
      </c>
      <c r="AE19" s="85">
        <f t="shared" si="9"/>
        <v>-6.5499999999999936</v>
      </c>
      <c r="AF19" s="80"/>
      <c r="AG19" s="80"/>
      <c r="AH19" s="80"/>
    </row>
    <row r="20" spans="1:34" x14ac:dyDescent="0.3">
      <c r="A20" s="86" t="s">
        <v>31</v>
      </c>
      <c r="B20" s="86" t="s">
        <v>16</v>
      </c>
      <c r="C20" s="86" t="s">
        <v>3</v>
      </c>
      <c r="D20" s="28" t="s">
        <v>44</v>
      </c>
      <c r="E20" t="s">
        <v>45</v>
      </c>
      <c r="F20" s="11">
        <v>40.9</v>
      </c>
      <c r="G20" s="47">
        <v>40.9</v>
      </c>
      <c r="H20" s="52">
        <f t="shared" si="0"/>
        <v>1.0250626566416041</v>
      </c>
      <c r="I20" s="36">
        <v>39.9</v>
      </c>
      <c r="J20" s="32"/>
      <c r="K20" s="32"/>
      <c r="L20" s="32"/>
      <c r="M20" s="32"/>
      <c r="N20" s="32"/>
      <c r="O20" s="42">
        <v>48.9</v>
      </c>
      <c r="P20" s="65"/>
      <c r="Q20" s="59">
        <v>40.9</v>
      </c>
      <c r="R20" s="60" t="e">
        <f t="shared" si="2"/>
        <v>#VALUE!</v>
      </c>
      <c r="S20" s="58" t="s">
        <v>481</v>
      </c>
      <c r="U20" s="28" t="s">
        <v>185</v>
      </c>
      <c r="V20" s="11">
        <v>21.9</v>
      </c>
      <c r="W20" s="81">
        <f t="shared" si="3"/>
        <v>5</v>
      </c>
      <c r="X20" s="81">
        <f t="shared" si="4"/>
        <v>30.9</v>
      </c>
      <c r="Y20" s="79" t="s">
        <v>17</v>
      </c>
      <c r="Z20" s="10">
        <v>36.9</v>
      </c>
      <c r="AA20" s="12">
        <f t="shared" si="5"/>
        <v>18.45</v>
      </c>
      <c r="AB20" s="12">
        <f t="shared" si="6"/>
        <v>53.8</v>
      </c>
      <c r="AC20" s="84">
        <f t="shared" si="7"/>
        <v>-11.899999999999999</v>
      </c>
      <c r="AD20" s="12">
        <f t="shared" si="8"/>
        <v>70.699999999999989</v>
      </c>
      <c r="AE20" s="85">
        <f t="shared" si="9"/>
        <v>-6.5499999999999936</v>
      </c>
      <c r="AF20" s="80"/>
      <c r="AG20" s="80"/>
      <c r="AH20" s="80"/>
    </row>
    <row r="21" spans="1:34" ht="19.5" thickBot="1" x14ac:dyDescent="0.35">
      <c r="A21" s="86" t="s">
        <v>31</v>
      </c>
      <c r="B21" s="86" t="s">
        <v>16</v>
      </c>
      <c r="C21" s="86" t="s">
        <v>3</v>
      </c>
      <c r="D21" s="28" t="s">
        <v>46</v>
      </c>
      <c r="E21" t="s">
        <v>47</v>
      </c>
      <c r="F21" s="11">
        <v>36.9</v>
      </c>
      <c r="G21" s="47">
        <v>36.9</v>
      </c>
      <c r="H21" s="52">
        <f t="shared" si="0"/>
        <v>1</v>
      </c>
      <c r="I21" s="36">
        <v>36.9</v>
      </c>
      <c r="J21" s="32">
        <v>32.9</v>
      </c>
      <c r="K21" s="32">
        <v>33.9</v>
      </c>
      <c r="L21" s="32">
        <v>34.9</v>
      </c>
      <c r="M21" s="32">
        <v>35.9</v>
      </c>
      <c r="N21" s="32">
        <v>36.9</v>
      </c>
      <c r="O21" s="42">
        <v>43.9</v>
      </c>
      <c r="P21" s="65">
        <f t="shared" si="1"/>
        <v>1.1868072452014058</v>
      </c>
      <c r="Q21" s="59">
        <v>42.9</v>
      </c>
      <c r="R21" s="60">
        <f t="shared" si="2"/>
        <v>1.1597729115977291</v>
      </c>
      <c r="S21" s="58">
        <v>36.99</v>
      </c>
      <c r="U21" s="28" t="s">
        <v>476</v>
      </c>
      <c r="V21" s="11">
        <v>21.9</v>
      </c>
      <c r="W21" s="81">
        <f t="shared" si="3"/>
        <v>5</v>
      </c>
      <c r="X21" s="81">
        <f t="shared" si="4"/>
        <v>30.9</v>
      </c>
      <c r="Y21" s="75" t="s">
        <v>27</v>
      </c>
      <c r="Z21" s="76">
        <v>36.9</v>
      </c>
      <c r="AA21" s="12">
        <f t="shared" si="5"/>
        <v>18.45</v>
      </c>
      <c r="AB21" s="12">
        <f t="shared" si="6"/>
        <v>53.8</v>
      </c>
      <c r="AC21" s="84">
        <f t="shared" si="7"/>
        <v>-11.899999999999999</v>
      </c>
      <c r="AD21" s="12">
        <f t="shared" si="8"/>
        <v>70.699999999999989</v>
      </c>
      <c r="AE21" s="85">
        <f t="shared" si="9"/>
        <v>-6.5499999999999936</v>
      </c>
      <c r="AF21" s="80"/>
      <c r="AG21" s="80"/>
      <c r="AH21" s="80"/>
    </row>
    <row r="22" spans="1:34" x14ac:dyDescent="0.3">
      <c r="A22" s="86" t="s">
        <v>31</v>
      </c>
      <c r="B22" s="86" t="s">
        <v>16</v>
      </c>
      <c r="C22" s="86" t="s">
        <v>3</v>
      </c>
      <c r="D22" s="28" t="s">
        <v>48</v>
      </c>
      <c r="E22" t="s">
        <v>49</v>
      </c>
      <c r="F22" s="11">
        <v>38.9</v>
      </c>
      <c r="G22" s="47">
        <v>39.9</v>
      </c>
      <c r="H22" s="52">
        <f t="shared" si="0"/>
        <v>1.0527704485488127</v>
      </c>
      <c r="I22" s="36">
        <v>37.9</v>
      </c>
      <c r="J22" s="32">
        <v>34.9</v>
      </c>
      <c r="K22" s="32">
        <v>35.9</v>
      </c>
      <c r="L22" s="32">
        <v>36.9</v>
      </c>
      <c r="M22" s="32">
        <v>37.9</v>
      </c>
      <c r="N22" s="32">
        <v>38.9</v>
      </c>
      <c r="O22" s="42">
        <v>47.9</v>
      </c>
      <c r="P22" s="65"/>
      <c r="Q22" s="59">
        <v>45.9</v>
      </c>
      <c r="R22" s="60" t="e">
        <f t="shared" si="2"/>
        <v>#VALUE!</v>
      </c>
      <c r="S22" s="58" t="s">
        <v>481</v>
      </c>
      <c r="U22" s="28" t="s">
        <v>188</v>
      </c>
      <c r="V22" s="11">
        <v>21.9</v>
      </c>
      <c r="W22" s="81">
        <f t="shared" si="3"/>
        <v>5</v>
      </c>
      <c r="X22" s="81">
        <f t="shared" si="4"/>
        <v>30.9</v>
      </c>
      <c r="Y22" s="73" t="s">
        <v>29</v>
      </c>
      <c r="Z22" s="74">
        <v>38.9</v>
      </c>
      <c r="AA22" s="12">
        <f t="shared" si="5"/>
        <v>19.45</v>
      </c>
      <c r="AB22" s="12">
        <f t="shared" si="6"/>
        <v>55.8</v>
      </c>
      <c r="AC22" s="84">
        <f t="shared" si="7"/>
        <v>-12.899999999999999</v>
      </c>
      <c r="AD22" s="12">
        <f t="shared" si="8"/>
        <v>72.699999999999989</v>
      </c>
      <c r="AE22" s="85">
        <f t="shared" si="9"/>
        <v>-7.5499999999999936</v>
      </c>
      <c r="AF22" s="80"/>
      <c r="AG22" s="80"/>
      <c r="AH22" s="80"/>
    </row>
    <row r="23" spans="1:34" ht="19.5" thickBot="1" x14ac:dyDescent="0.35">
      <c r="A23" s="86" t="s">
        <v>31</v>
      </c>
      <c r="B23" s="86" t="s">
        <v>16</v>
      </c>
      <c r="C23" s="86" t="s">
        <v>3</v>
      </c>
      <c r="D23" s="28" t="s">
        <v>50</v>
      </c>
      <c r="E23" t="s">
        <v>51</v>
      </c>
      <c r="F23" s="11">
        <v>38.9</v>
      </c>
      <c r="G23" s="47">
        <v>39.9</v>
      </c>
      <c r="H23" s="52">
        <f t="shared" si="0"/>
        <v>1.025706940874036</v>
      </c>
      <c r="I23" s="36">
        <v>38.9</v>
      </c>
      <c r="J23" s="32">
        <v>34.9</v>
      </c>
      <c r="K23" s="32">
        <v>35.9</v>
      </c>
      <c r="L23" s="32">
        <v>36.9</v>
      </c>
      <c r="M23" s="32">
        <v>37.9</v>
      </c>
      <c r="N23" s="32">
        <v>38.9</v>
      </c>
      <c r="O23" s="42">
        <v>47.9</v>
      </c>
      <c r="P23" s="65">
        <f t="shared" si="1"/>
        <v>1.22852013336753</v>
      </c>
      <c r="Q23" s="59">
        <v>45.9</v>
      </c>
      <c r="R23" s="60">
        <f t="shared" si="2"/>
        <v>1.1772249294690946</v>
      </c>
      <c r="S23" s="58">
        <v>38.99</v>
      </c>
      <c r="U23" s="28" t="s">
        <v>203</v>
      </c>
      <c r="V23" s="11">
        <v>16.899999999999999</v>
      </c>
      <c r="W23" s="81">
        <f>V23-16.9</f>
        <v>0</v>
      </c>
      <c r="X23" s="81">
        <f>25.9+W23</f>
        <v>25.9</v>
      </c>
      <c r="Y23" s="75" t="s">
        <v>13</v>
      </c>
      <c r="Z23" s="76">
        <v>38.9</v>
      </c>
      <c r="AA23" s="12">
        <f t="shared" si="5"/>
        <v>19.45</v>
      </c>
      <c r="AB23" s="12">
        <f t="shared" si="6"/>
        <v>55.8</v>
      </c>
      <c r="AC23" s="84">
        <f t="shared" si="7"/>
        <v>-12.899999999999999</v>
      </c>
      <c r="AD23" s="12">
        <f t="shared" si="8"/>
        <v>72.699999999999989</v>
      </c>
      <c r="AE23" s="85">
        <f t="shared" si="9"/>
        <v>-7.5499999999999936</v>
      </c>
      <c r="AF23" s="80"/>
      <c r="AG23" s="80"/>
      <c r="AH23" s="80"/>
    </row>
    <row r="24" spans="1:34" x14ac:dyDescent="0.3">
      <c r="A24" s="86" t="s">
        <v>31</v>
      </c>
      <c r="B24" s="86" t="s">
        <v>16</v>
      </c>
      <c r="C24" s="86" t="s">
        <v>3</v>
      </c>
      <c r="D24" s="28" t="s">
        <v>52</v>
      </c>
      <c r="E24" t="s">
        <v>53</v>
      </c>
      <c r="F24" s="11">
        <v>40.9</v>
      </c>
      <c r="G24" s="47">
        <v>41.9</v>
      </c>
      <c r="H24" s="52">
        <f t="shared" si="0"/>
        <v>1.050125313283208</v>
      </c>
      <c r="I24" s="36">
        <v>39.9</v>
      </c>
      <c r="J24" s="32">
        <v>36.9</v>
      </c>
      <c r="K24" s="32">
        <v>37.9</v>
      </c>
      <c r="L24" s="32">
        <v>38.9</v>
      </c>
      <c r="M24" s="32">
        <v>39.9</v>
      </c>
      <c r="N24" s="32">
        <v>40.9</v>
      </c>
      <c r="O24" s="42">
        <v>49.9</v>
      </c>
      <c r="P24" s="65">
        <f t="shared" si="1"/>
        <v>1.1607350546638753</v>
      </c>
      <c r="Q24" s="59">
        <v>47.9</v>
      </c>
      <c r="R24" s="60">
        <f t="shared" si="2"/>
        <v>1.1142126075831589</v>
      </c>
      <c r="S24" s="58">
        <v>42.99</v>
      </c>
      <c r="U24" s="28" t="s">
        <v>205</v>
      </c>
      <c r="V24" s="11">
        <v>16.899999999999999</v>
      </c>
      <c r="W24" s="81">
        <f>V24-16.9</f>
        <v>0</v>
      </c>
      <c r="X24" s="81">
        <f>25.9+W24</f>
        <v>25.9</v>
      </c>
      <c r="AA24" s="80"/>
      <c r="AB24" s="80"/>
      <c r="AC24" s="80"/>
      <c r="AD24" s="80"/>
      <c r="AE24" s="80"/>
      <c r="AF24" s="80"/>
      <c r="AG24" s="80"/>
      <c r="AH24" s="80"/>
    </row>
    <row r="25" spans="1:34" x14ac:dyDescent="0.3">
      <c r="A25" s="86" t="s">
        <v>31</v>
      </c>
      <c r="B25" s="86" t="s">
        <v>16</v>
      </c>
      <c r="C25" s="86" t="s">
        <v>3</v>
      </c>
      <c r="D25" s="28" t="s">
        <v>54</v>
      </c>
      <c r="E25" t="s">
        <v>55</v>
      </c>
      <c r="F25" s="11">
        <v>41.9</v>
      </c>
      <c r="G25" s="47">
        <v>41.9</v>
      </c>
      <c r="H25" s="52">
        <f t="shared" si="0"/>
        <v>1</v>
      </c>
      <c r="I25" s="36">
        <v>41.9</v>
      </c>
      <c r="J25" s="32">
        <v>37.9</v>
      </c>
      <c r="K25" s="32">
        <v>38.9</v>
      </c>
      <c r="L25" s="32">
        <v>39.9</v>
      </c>
      <c r="M25" s="32">
        <v>40.9</v>
      </c>
      <c r="N25" s="32">
        <v>41.9</v>
      </c>
      <c r="O25" s="42">
        <v>49.9</v>
      </c>
      <c r="P25" s="65">
        <f t="shared" si="1"/>
        <v>1.1091353634140919</v>
      </c>
      <c r="Q25" s="59">
        <v>48.9</v>
      </c>
      <c r="R25" s="60">
        <f t="shared" si="2"/>
        <v>1.0869082018226273</v>
      </c>
      <c r="S25" s="58">
        <v>44.99</v>
      </c>
      <c r="U25" s="28" t="s">
        <v>207</v>
      </c>
      <c r="V25" s="11">
        <v>16.899999999999999</v>
      </c>
      <c r="W25" s="81">
        <f>V25-16.9</f>
        <v>0</v>
      </c>
      <c r="X25" s="81">
        <f>25.9+W25</f>
        <v>25.9</v>
      </c>
      <c r="AA25" s="80"/>
      <c r="AB25" s="80"/>
      <c r="AC25" s="80"/>
      <c r="AD25" s="80"/>
      <c r="AE25" s="80"/>
      <c r="AF25" s="80"/>
      <c r="AG25" s="80"/>
      <c r="AH25" s="80"/>
    </row>
    <row r="26" spans="1:34" x14ac:dyDescent="0.3">
      <c r="A26" s="86" t="s">
        <v>56</v>
      </c>
      <c r="B26" s="86" t="s">
        <v>56</v>
      </c>
      <c r="C26" s="86" t="s">
        <v>3</v>
      </c>
      <c r="D26" s="28" t="s">
        <v>57</v>
      </c>
      <c r="E26" t="s">
        <v>58</v>
      </c>
      <c r="F26" s="11">
        <v>41.9</v>
      </c>
      <c r="G26" s="47">
        <v>43.9</v>
      </c>
      <c r="H26" s="52">
        <f t="shared" si="0"/>
        <v>1.0257009345794392</v>
      </c>
      <c r="I26" s="36">
        <v>42.8</v>
      </c>
      <c r="J26" s="32"/>
      <c r="K26" s="32"/>
      <c r="L26" s="32"/>
      <c r="M26" s="32"/>
      <c r="N26" s="32"/>
      <c r="O26" s="42">
        <v>52.9</v>
      </c>
      <c r="P26" s="65"/>
      <c r="Q26" s="59">
        <v>49.9</v>
      </c>
      <c r="R26" s="60" t="e">
        <f t="shared" si="2"/>
        <v>#VALUE!</v>
      </c>
      <c r="S26" s="58" t="s">
        <v>481</v>
      </c>
      <c r="U26" s="28" t="s">
        <v>209</v>
      </c>
      <c r="V26" s="11">
        <v>16.899999999999999</v>
      </c>
      <c r="W26" s="81">
        <f>V26-16.9</f>
        <v>0</v>
      </c>
      <c r="X26" s="81">
        <f>25.9+W26</f>
        <v>25.9</v>
      </c>
      <c r="AA26" s="80"/>
      <c r="AB26" s="80"/>
      <c r="AC26" s="80"/>
      <c r="AD26" s="80"/>
      <c r="AE26" s="80"/>
      <c r="AF26" s="80"/>
      <c r="AG26" s="80"/>
      <c r="AH26" s="80"/>
    </row>
    <row r="27" spans="1:34" x14ac:dyDescent="0.3">
      <c r="A27" s="86" t="s">
        <v>56</v>
      </c>
      <c r="B27" s="86" t="s">
        <v>56</v>
      </c>
      <c r="C27" s="86" t="s">
        <v>3</v>
      </c>
      <c r="D27" s="28" t="s">
        <v>59</v>
      </c>
      <c r="E27" t="s">
        <v>60</v>
      </c>
      <c r="F27" s="11">
        <v>59.9</v>
      </c>
      <c r="G27" s="47">
        <v>59.9</v>
      </c>
      <c r="H27" s="52">
        <f t="shared" si="0"/>
        <v>1.0033500837520937</v>
      </c>
      <c r="I27" s="36">
        <v>59.7</v>
      </c>
      <c r="J27" s="32"/>
      <c r="K27" s="32"/>
      <c r="L27" s="32"/>
      <c r="M27" s="32"/>
      <c r="N27" s="32"/>
      <c r="O27" s="42">
        <v>71.900000000000006</v>
      </c>
      <c r="P27" s="65"/>
      <c r="Q27" s="59">
        <v>68.900000000000006</v>
      </c>
      <c r="R27" s="60" t="e">
        <f t="shared" si="2"/>
        <v>#VALUE!</v>
      </c>
      <c r="S27" s="58" t="s">
        <v>481</v>
      </c>
      <c r="U27" s="28" t="s">
        <v>211</v>
      </c>
      <c r="V27" s="11">
        <v>16.899999999999999</v>
      </c>
      <c r="W27" s="81">
        <f>V27-16.9</f>
        <v>0</v>
      </c>
      <c r="X27" s="81">
        <f>25.9+W27</f>
        <v>25.9</v>
      </c>
      <c r="AA27" s="80"/>
      <c r="AB27" s="80"/>
      <c r="AC27" s="80"/>
      <c r="AD27" s="80"/>
      <c r="AE27" s="80"/>
      <c r="AF27" s="80"/>
      <c r="AG27" s="80"/>
      <c r="AH27" s="80"/>
    </row>
    <row r="28" spans="1:34" x14ac:dyDescent="0.3">
      <c r="A28" s="86" t="s">
        <v>56</v>
      </c>
      <c r="B28" s="86" t="s">
        <v>56</v>
      </c>
      <c r="C28" s="86" t="s">
        <v>3</v>
      </c>
      <c r="D28" s="28" t="s">
        <v>61</v>
      </c>
      <c r="E28" t="s">
        <v>62</v>
      </c>
      <c r="F28" s="11">
        <v>25.9</v>
      </c>
      <c r="G28" s="47">
        <v>27.9</v>
      </c>
      <c r="H28" s="52">
        <f t="shared" si="0"/>
        <v>1.0772200772200773</v>
      </c>
      <c r="I28" s="36">
        <v>25.9</v>
      </c>
      <c r="J28" s="12"/>
      <c r="K28" s="12"/>
      <c r="L28" s="12"/>
      <c r="M28" s="12"/>
      <c r="N28" s="12"/>
      <c r="O28" s="42">
        <v>32.9</v>
      </c>
      <c r="P28" s="65">
        <f t="shared" si="1"/>
        <v>1.0973982655103403</v>
      </c>
      <c r="Q28" s="59">
        <v>32.9</v>
      </c>
      <c r="R28" s="60">
        <f t="shared" si="2"/>
        <v>1.0973982655103403</v>
      </c>
      <c r="S28" s="58">
        <v>29.98</v>
      </c>
      <c r="U28" s="28" t="s">
        <v>215</v>
      </c>
      <c r="V28" s="11">
        <v>22.9</v>
      </c>
      <c r="W28" s="81">
        <f>V28-14.9</f>
        <v>7.9999999999999982</v>
      </c>
      <c r="X28" s="81">
        <f>4.1+W28</f>
        <v>12.099999999999998</v>
      </c>
      <c r="AA28" s="80"/>
      <c r="AB28" s="80"/>
      <c r="AC28" s="80"/>
      <c r="AD28" s="80"/>
      <c r="AE28" s="80"/>
      <c r="AF28" s="80"/>
      <c r="AG28" s="80"/>
      <c r="AH28" s="80"/>
    </row>
    <row r="29" spans="1:34" x14ac:dyDescent="0.3">
      <c r="A29" s="86" t="s">
        <v>63</v>
      </c>
      <c r="B29" s="86" t="s">
        <v>64</v>
      </c>
      <c r="C29" s="86" t="s">
        <v>3</v>
      </c>
      <c r="D29" s="28" t="s">
        <v>65</v>
      </c>
      <c r="E29" t="s">
        <v>66</v>
      </c>
      <c r="F29" s="11">
        <v>23.9</v>
      </c>
      <c r="G29" s="47">
        <v>27.9</v>
      </c>
      <c r="H29" s="52">
        <f t="shared" si="0"/>
        <v>1.0772200772200773</v>
      </c>
      <c r="I29" s="36">
        <v>25.9</v>
      </c>
      <c r="J29" s="32"/>
      <c r="K29" s="32"/>
      <c r="L29" s="32"/>
      <c r="M29" s="32"/>
      <c r="N29" s="32"/>
      <c r="O29" s="42">
        <v>32.9</v>
      </c>
      <c r="P29" s="65">
        <f t="shared" si="1"/>
        <v>0.99757428744693755</v>
      </c>
      <c r="Q29" s="59">
        <v>29.9</v>
      </c>
      <c r="R29" s="60">
        <f t="shared" si="2"/>
        <v>0.90661006670709521</v>
      </c>
      <c r="S29" s="58">
        <v>32.979999999999997</v>
      </c>
      <c r="U29" s="28" t="s">
        <v>217</v>
      </c>
      <c r="V29" s="11">
        <v>27.9</v>
      </c>
      <c r="W29" s="81">
        <f t="shared" ref="W29:W43" si="10">V29-14.9</f>
        <v>12.999999999999998</v>
      </c>
      <c r="X29" s="81">
        <f t="shared" ref="X29:X43" si="11">4.1+W29</f>
        <v>17.099999999999998</v>
      </c>
      <c r="AA29" s="80"/>
      <c r="AB29" s="80"/>
      <c r="AC29" s="80"/>
      <c r="AD29" s="80"/>
      <c r="AE29" s="80"/>
      <c r="AF29" s="80"/>
      <c r="AG29" s="80"/>
      <c r="AH29" s="80"/>
    </row>
    <row r="30" spans="1:34" x14ac:dyDescent="0.3">
      <c r="A30" s="86" t="s">
        <v>63</v>
      </c>
      <c r="B30" s="86" t="s">
        <v>64</v>
      </c>
      <c r="C30" s="86" t="s">
        <v>3</v>
      </c>
      <c r="D30" s="28" t="s">
        <v>67</v>
      </c>
      <c r="E30" t="s">
        <v>68</v>
      </c>
      <c r="F30" s="11">
        <v>24.9</v>
      </c>
      <c r="G30" s="47">
        <v>26.9</v>
      </c>
      <c r="H30" s="52">
        <f t="shared" si="0"/>
        <v>1.0803212851405624</v>
      </c>
      <c r="I30" s="36">
        <v>24.9</v>
      </c>
      <c r="J30" s="32"/>
      <c r="K30" s="32"/>
      <c r="L30" s="32"/>
      <c r="M30" s="32"/>
      <c r="N30" s="32"/>
      <c r="O30" s="42">
        <v>31.9</v>
      </c>
      <c r="P30" s="65"/>
      <c r="Q30" s="59">
        <v>30.9</v>
      </c>
      <c r="R30" s="60" t="e">
        <f t="shared" si="2"/>
        <v>#VALUE!</v>
      </c>
      <c r="S30" s="58" t="s">
        <v>481</v>
      </c>
      <c r="U30" s="28" t="s">
        <v>219</v>
      </c>
      <c r="V30" s="11">
        <v>20.9</v>
      </c>
      <c r="W30" s="81">
        <f t="shared" si="10"/>
        <v>5.9999999999999982</v>
      </c>
      <c r="X30" s="81">
        <f t="shared" si="11"/>
        <v>10.099999999999998</v>
      </c>
      <c r="AA30" s="80"/>
      <c r="AB30" s="80"/>
      <c r="AC30" s="80"/>
      <c r="AD30" s="80"/>
      <c r="AE30" s="80"/>
      <c r="AF30" s="80"/>
      <c r="AG30" s="80"/>
      <c r="AH30" s="80"/>
    </row>
    <row r="31" spans="1:34" x14ac:dyDescent="0.3">
      <c r="A31" s="86" t="s">
        <v>63</v>
      </c>
      <c r="B31" s="86" t="s">
        <v>64</v>
      </c>
      <c r="C31" s="86" t="s">
        <v>3</v>
      </c>
      <c r="D31" s="28" t="s">
        <v>69</v>
      </c>
      <c r="E31" t="s">
        <v>70</v>
      </c>
      <c r="F31" s="11">
        <v>27.9</v>
      </c>
      <c r="G31" s="47">
        <v>30.9</v>
      </c>
      <c r="H31" s="52">
        <f t="shared" si="0"/>
        <v>1.10752688172043</v>
      </c>
      <c r="I31" s="36">
        <v>27.9</v>
      </c>
      <c r="J31" s="32"/>
      <c r="K31" s="32"/>
      <c r="L31" s="32"/>
      <c r="M31" s="32"/>
      <c r="N31" s="32"/>
      <c r="O31" s="42">
        <v>35.9</v>
      </c>
      <c r="P31" s="65">
        <f t="shared" si="1"/>
        <v>0.92074890997691705</v>
      </c>
      <c r="Q31" s="59">
        <v>31.9</v>
      </c>
      <c r="R31" s="60">
        <f t="shared" si="2"/>
        <v>0.81815850218004604</v>
      </c>
      <c r="S31" s="58">
        <v>38.99</v>
      </c>
      <c r="U31" s="28" t="s">
        <v>219</v>
      </c>
      <c r="V31" s="11">
        <v>20.9</v>
      </c>
      <c r="W31" s="81">
        <f t="shared" si="10"/>
        <v>5.9999999999999982</v>
      </c>
      <c r="X31" s="81">
        <f t="shared" si="11"/>
        <v>10.099999999999998</v>
      </c>
      <c r="AA31" s="80"/>
      <c r="AB31" s="80"/>
      <c r="AC31" s="80"/>
      <c r="AD31" s="80"/>
      <c r="AE31" s="80"/>
      <c r="AF31" s="80"/>
      <c r="AG31" s="80"/>
      <c r="AH31" s="80"/>
    </row>
    <row r="32" spans="1:34" x14ac:dyDescent="0.3">
      <c r="A32" s="86"/>
      <c r="B32" s="86"/>
      <c r="C32" s="86"/>
      <c r="D32" s="28" t="s">
        <v>421</v>
      </c>
      <c r="F32" s="11">
        <v>27.9</v>
      </c>
      <c r="G32" s="47">
        <v>38.9</v>
      </c>
      <c r="H32" s="52">
        <f t="shared" si="0"/>
        <v>1.0263852242744063</v>
      </c>
      <c r="I32" s="36">
        <v>37.9</v>
      </c>
      <c r="J32" s="32"/>
      <c r="K32" s="32"/>
      <c r="L32" s="32"/>
      <c r="M32" s="32"/>
      <c r="N32" s="32"/>
      <c r="O32" s="42">
        <v>46.9</v>
      </c>
      <c r="P32" s="65"/>
      <c r="Q32" s="59">
        <v>31.9</v>
      </c>
      <c r="R32" s="60" t="e">
        <f t="shared" si="2"/>
        <v>#DIV/0!</v>
      </c>
      <c r="S32" s="58"/>
      <c r="U32" s="28" t="s">
        <v>477</v>
      </c>
      <c r="V32" s="11">
        <v>20.9</v>
      </c>
      <c r="W32" s="81">
        <f t="shared" si="10"/>
        <v>5.9999999999999982</v>
      </c>
      <c r="X32" s="81">
        <f t="shared" si="11"/>
        <v>10.099999999999998</v>
      </c>
      <c r="AA32" s="80"/>
      <c r="AB32" s="80"/>
      <c r="AC32" s="80"/>
      <c r="AD32" s="80"/>
      <c r="AE32" s="80"/>
      <c r="AF32" s="80"/>
      <c r="AG32" s="80"/>
      <c r="AH32" s="80"/>
    </row>
    <row r="33" spans="1:24" x14ac:dyDescent="0.3">
      <c r="A33" s="86" t="s">
        <v>63</v>
      </c>
      <c r="B33" s="86" t="s">
        <v>64</v>
      </c>
      <c r="C33" s="86" t="s">
        <v>3</v>
      </c>
      <c r="D33" s="28" t="s">
        <v>71</v>
      </c>
      <c r="E33" t="s">
        <v>72</v>
      </c>
      <c r="F33" s="11">
        <v>29.9</v>
      </c>
      <c r="G33" s="47">
        <v>31.9</v>
      </c>
      <c r="H33" s="52">
        <f t="shared" si="0"/>
        <v>1.0668896321070234</v>
      </c>
      <c r="I33" s="36">
        <v>29.9</v>
      </c>
      <c r="J33" s="32"/>
      <c r="K33" s="32"/>
      <c r="L33" s="32"/>
      <c r="M33" s="32"/>
      <c r="N33" s="32"/>
      <c r="O33" s="42">
        <v>37.9</v>
      </c>
      <c r="P33" s="65">
        <f t="shared" si="1"/>
        <v>1.1491813220133416</v>
      </c>
      <c r="Q33" s="59">
        <v>32.9</v>
      </c>
      <c r="R33" s="60">
        <f t="shared" si="2"/>
        <v>0.99757428744693755</v>
      </c>
      <c r="S33" s="58">
        <v>32.979999999999997</v>
      </c>
      <c r="U33" s="28" t="s">
        <v>479</v>
      </c>
      <c r="V33" s="11">
        <v>17.899999999999999</v>
      </c>
      <c r="W33" s="81">
        <f t="shared" si="10"/>
        <v>2.9999999999999982</v>
      </c>
      <c r="X33" s="81">
        <f t="shared" si="11"/>
        <v>7.0999999999999979</v>
      </c>
    </row>
    <row r="34" spans="1:24" x14ac:dyDescent="0.3">
      <c r="A34" s="86"/>
      <c r="B34" s="86"/>
      <c r="C34" s="2"/>
      <c r="D34" s="28" t="s">
        <v>422</v>
      </c>
      <c r="F34" s="11">
        <v>12.9</v>
      </c>
      <c r="G34" s="47">
        <v>15.9</v>
      </c>
      <c r="H34" s="52">
        <f t="shared" si="0"/>
        <v>1</v>
      </c>
      <c r="I34" s="36">
        <v>15.9</v>
      </c>
      <c r="J34" s="32"/>
      <c r="K34" s="32"/>
      <c r="L34" s="32"/>
      <c r="M34" s="32"/>
      <c r="N34" s="32"/>
      <c r="O34" s="42">
        <v>18.899999999999999</v>
      </c>
      <c r="P34" s="65"/>
      <c r="Q34" s="59">
        <v>21.9</v>
      </c>
      <c r="R34" s="60" t="e">
        <f t="shared" si="2"/>
        <v>#DIV/0!</v>
      </c>
      <c r="S34" s="58"/>
      <c r="U34" s="28" t="s">
        <v>222</v>
      </c>
      <c r="V34" s="11">
        <v>14.9</v>
      </c>
      <c r="W34" s="81">
        <f t="shared" si="10"/>
        <v>0</v>
      </c>
      <c r="X34" s="81">
        <f t="shared" si="11"/>
        <v>4.0999999999999996</v>
      </c>
    </row>
    <row r="35" spans="1:24" x14ac:dyDescent="0.3">
      <c r="A35" s="86" t="s">
        <v>63</v>
      </c>
      <c r="B35" s="86" t="s">
        <v>64</v>
      </c>
      <c r="C35" s="86" t="s">
        <v>8</v>
      </c>
      <c r="D35" s="28" t="s">
        <v>73</v>
      </c>
      <c r="E35" t="s">
        <v>74</v>
      </c>
      <c r="F35" s="11">
        <v>11.9</v>
      </c>
      <c r="G35" s="47">
        <v>12.9</v>
      </c>
      <c r="H35" s="52">
        <f t="shared" si="0"/>
        <v>1.1834862385321101</v>
      </c>
      <c r="I35" s="36">
        <v>10.9</v>
      </c>
      <c r="J35" s="32"/>
      <c r="K35" s="32"/>
      <c r="L35" s="32"/>
      <c r="M35" s="32"/>
      <c r="N35" s="32"/>
      <c r="O35" s="42">
        <v>15.9</v>
      </c>
      <c r="P35" s="65"/>
      <c r="Q35" s="59">
        <v>12.9</v>
      </c>
      <c r="R35" s="60" t="e">
        <f t="shared" si="2"/>
        <v>#VALUE!</v>
      </c>
      <c r="S35" s="58" t="s">
        <v>481</v>
      </c>
      <c r="U35" s="28" t="s">
        <v>224</v>
      </c>
      <c r="V35" s="11">
        <v>12.9</v>
      </c>
      <c r="W35" s="81"/>
      <c r="X35" s="81">
        <v>4.0999999999999996</v>
      </c>
    </row>
    <row r="36" spans="1:24" x14ac:dyDescent="0.3">
      <c r="A36" s="86" t="s">
        <v>63</v>
      </c>
      <c r="B36" s="86" t="s">
        <v>64</v>
      </c>
      <c r="C36" s="86" t="s">
        <v>8</v>
      </c>
      <c r="D36" s="28" t="s">
        <v>75</v>
      </c>
      <c r="E36" t="s">
        <v>76</v>
      </c>
      <c r="F36" s="11">
        <v>11.9</v>
      </c>
      <c r="G36" s="47">
        <v>13.9</v>
      </c>
      <c r="H36" s="52">
        <f t="shared" si="0"/>
        <v>1.0775193798449612</v>
      </c>
      <c r="I36" s="36">
        <v>12.9</v>
      </c>
      <c r="J36" s="32"/>
      <c r="K36" s="32"/>
      <c r="L36" s="32"/>
      <c r="M36" s="32"/>
      <c r="N36" s="32"/>
      <c r="O36" s="42">
        <v>16.899999999999999</v>
      </c>
      <c r="P36" s="65"/>
      <c r="Q36" s="59">
        <v>14.9</v>
      </c>
      <c r="R36" s="60" t="e">
        <f t="shared" si="2"/>
        <v>#DIV/0!</v>
      </c>
      <c r="S36" s="58"/>
      <c r="U36" s="28" t="s">
        <v>226</v>
      </c>
      <c r="V36" s="11">
        <v>27.9</v>
      </c>
      <c r="W36" s="81">
        <f t="shared" si="10"/>
        <v>12.999999999999998</v>
      </c>
      <c r="X36" s="81">
        <f t="shared" si="11"/>
        <v>17.099999999999998</v>
      </c>
    </row>
    <row r="37" spans="1:24" x14ac:dyDescent="0.3">
      <c r="A37" s="86" t="s">
        <v>63</v>
      </c>
      <c r="B37" s="86" t="s">
        <v>64</v>
      </c>
      <c r="C37" s="86" t="s">
        <v>8</v>
      </c>
      <c r="D37" s="28" t="s">
        <v>77</v>
      </c>
      <c r="E37" t="s">
        <v>78</v>
      </c>
      <c r="F37" s="11">
        <v>12.9</v>
      </c>
      <c r="G37" s="47">
        <v>13.9</v>
      </c>
      <c r="H37" s="52">
        <f t="shared" si="0"/>
        <v>1.0775193798449612</v>
      </c>
      <c r="I37" s="36">
        <v>12.9</v>
      </c>
      <c r="J37" s="32"/>
      <c r="K37" s="32"/>
      <c r="L37" s="32"/>
      <c r="M37" s="32"/>
      <c r="N37" s="32"/>
      <c r="O37" s="42">
        <v>16.899999999999999</v>
      </c>
      <c r="P37" s="65">
        <f t="shared" si="1"/>
        <v>0.76853115052296495</v>
      </c>
      <c r="Q37" s="59">
        <v>14.9</v>
      </c>
      <c r="R37" s="60">
        <f t="shared" si="2"/>
        <v>0.67758071850841295</v>
      </c>
      <c r="S37" s="58">
        <v>21.99</v>
      </c>
      <c r="U37" s="28" t="s">
        <v>228</v>
      </c>
      <c r="V37" s="11">
        <v>20.9</v>
      </c>
      <c r="W37" s="81">
        <f t="shared" si="10"/>
        <v>5.9999999999999982</v>
      </c>
      <c r="X37" s="81">
        <f t="shared" si="11"/>
        <v>10.099999999999998</v>
      </c>
    </row>
    <row r="38" spans="1:24" x14ac:dyDescent="0.3">
      <c r="A38" s="86" t="s">
        <v>63</v>
      </c>
      <c r="B38" s="86" t="s">
        <v>64</v>
      </c>
      <c r="C38" s="86" t="s">
        <v>8</v>
      </c>
      <c r="D38" s="28" t="s">
        <v>79</v>
      </c>
      <c r="E38" t="s">
        <v>80</v>
      </c>
      <c r="F38" s="11">
        <v>15.9</v>
      </c>
      <c r="G38" s="47">
        <v>13.9</v>
      </c>
      <c r="H38" s="52">
        <f t="shared" si="0"/>
        <v>1.0775193798449612</v>
      </c>
      <c r="I38" s="36">
        <v>12.9</v>
      </c>
      <c r="J38" s="32"/>
      <c r="K38" s="32"/>
      <c r="L38" s="32"/>
      <c r="M38" s="32"/>
      <c r="N38" s="32"/>
      <c r="O38" s="42">
        <v>16.899999999999999</v>
      </c>
      <c r="P38" s="65">
        <f t="shared" si="1"/>
        <v>0.88947368421052619</v>
      </c>
      <c r="Q38" s="59">
        <v>16.899999999999999</v>
      </c>
      <c r="R38" s="60">
        <f t="shared" si="2"/>
        <v>0.88947368421052619</v>
      </c>
      <c r="S38" s="58">
        <v>19</v>
      </c>
      <c r="U38" s="28" t="s">
        <v>230</v>
      </c>
      <c r="V38" s="11">
        <v>30.9</v>
      </c>
      <c r="W38" s="81">
        <f t="shared" si="10"/>
        <v>15.999999999999998</v>
      </c>
      <c r="X38" s="81">
        <f t="shared" si="11"/>
        <v>20.099999999999998</v>
      </c>
    </row>
    <row r="39" spans="1:24" x14ac:dyDescent="0.3">
      <c r="A39" s="2"/>
      <c r="B39" s="2"/>
      <c r="C39" s="2"/>
      <c r="D39" s="28" t="s">
        <v>435</v>
      </c>
      <c r="F39" s="11">
        <v>48.9</v>
      </c>
      <c r="G39" s="47">
        <v>46.9</v>
      </c>
      <c r="H39" s="52">
        <f t="shared" si="0"/>
        <v>1.0445434298440981</v>
      </c>
      <c r="I39" s="36">
        <v>44.9</v>
      </c>
      <c r="J39" s="32">
        <v>42.9</v>
      </c>
      <c r="K39" s="32">
        <v>43.9</v>
      </c>
      <c r="L39" s="32">
        <v>44.9</v>
      </c>
      <c r="M39" s="32">
        <v>45.9</v>
      </c>
      <c r="N39" s="32">
        <v>46.9</v>
      </c>
      <c r="O39" s="42">
        <v>56.9</v>
      </c>
      <c r="P39" s="65"/>
      <c r="Q39" s="59">
        <v>57.9</v>
      </c>
      <c r="R39" s="60" t="e">
        <f t="shared" si="2"/>
        <v>#DIV/0!</v>
      </c>
      <c r="S39" s="58"/>
      <c r="U39" s="28" t="s">
        <v>232</v>
      </c>
      <c r="V39" s="11">
        <v>30.9</v>
      </c>
      <c r="W39" s="81">
        <f t="shared" si="10"/>
        <v>15.999999999999998</v>
      </c>
      <c r="X39" s="81">
        <f t="shared" si="11"/>
        <v>20.099999999999998</v>
      </c>
    </row>
    <row r="40" spans="1:24" x14ac:dyDescent="0.3">
      <c r="A40" s="2"/>
      <c r="B40" s="2"/>
      <c r="C40" s="2"/>
      <c r="D40" s="28" t="s">
        <v>472</v>
      </c>
      <c r="E40" t="s">
        <v>83</v>
      </c>
      <c r="F40" s="11">
        <v>52.9</v>
      </c>
      <c r="G40" s="47">
        <v>53.9</v>
      </c>
      <c r="H40" s="52">
        <f t="shared" si="0"/>
        <v>1.0189035916824196</v>
      </c>
      <c r="I40" s="36">
        <v>52.9</v>
      </c>
      <c r="J40" s="32"/>
      <c r="K40" s="32"/>
      <c r="L40" s="32"/>
      <c r="M40" s="32"/>
      <c r="N40" s="32"/>
      <c r="O40" s="42">
        <v>65.900000000000006</v>
      </c>
      <c r="P40" s="65"/>
      <c r="Q40" s="59">
        <v>60.9</v>
      </c>
      <c r="R40" s="60" t="e">
        <f t="shared" si="2"/>
        <v>#DIV/0!</v>
      </c>
      <c r="S40" s="58"/>
      <c r="U40" s="28" t="s">
        <v>235</v>
      </c>
      <c r="V40" s="11">
        <v>18.899999999999999</v>
      </c>
      <c r="W40" s="81">
        <f t="shared" si="10"/>
        <v>3.9999999999999982</v>
      </c>
      <c r="X40" s="81">
        <f t="shared" si="11"/>
        <v>8.0999999999999979</v>
      </c>
    </row>
    <row r="41" spans="1:24" x14ac:dyDescent="0.3">
      <c r="A41" s="2"/>
      <c r="B41" s="2"/>
      <c r="C41" s="2"/>
      <c r="D41" s="28" t="s">
        <v>473</v>
      </c>
      <c r="E41" t="s">
        <v>85</v>
      </c>
      <c r="F41" s="11">
        <v>64.900000000000006</v>
      </c>
      <c r="G41" s="47">
        <v>64.989999999999995</v>
      </c>
      <c r="H41" s="52">
        <f t="shared" si="0"/>
        <v>1.0332273449920508</v>
      </c>
      <c r="I41" s="36">
        <v>62.9</v>
      </c>
      <c r="J41" s="32">
        <v>60.9</v>
      </c>
      <c r="K41" s="32">
        <v>61.9</v>
      </c>
      <c r="L41" s="32">
        <v>62.9</v>
      </c>
      <c r="M41" s="32">
        <v>63.9</v>
      </c>
      <c r="N41" s="32">
        <v>64.900000000000006</v>
      </c>
      <c r="O41" s="42">
        <v>77.900000000000006</v>
      </c>
      <c r="P41" s="65"/>
      <c r="Q41" s="59">
        <v>75.900000000000006</v>
      </c>
      <c r="R41" s="60" t="e">
        <f t="shared" si="2"/>
        <v>#DIV/0!</v>
      </c>
      <c r="S41" s="58"/>
      <c r="U41" s="28" t="s">
        <v>237</v>
      </c>
      <c r="V41" s="11">
        <v>16.899999999999999</v>
      </c>
      <c r="W41" s="81">
        <f t="shared" si="10"/>
        <v>1.9999999999999982</v>
      </c>
      <c r="X41" s="81">
        <f t="shared" si="11"/>
        <v>6.0999999999999979</v>
      </c>
    </row>
    <row r="42" spans="1:24" x14ac:dyDescent="0.3">
      <c r="A42" s="2"/>
      <c r="B42" s="2"/>
      <c r="C42" s="2"/>
      <c r="D42" s="28" t="s">
        <v>423</v>
      </c>
      <c r="F42" s="11">
        <v>44.9</v>
      </c>
      <c r="G42" s="47">
        <v>45.9</v>
      </c>
      <c r="H42" s="52">
        <f t="shared" si="0"/>
        <v>1.022271714922049</v>
      </c>
      <c r="I42" s="36">
        <v>44.9</v>
      </c>
      <c r="J42" s="32">
        <v>40.9</v>
      </c>
      <c r="K42" s="32">
        <v>41.9</v>
      </c>
      <c r="L42" s="32">
        <v>42.9</v>
      </c>
      <c r="M42" s="32">
        <v>43.9</v>
      </c>
      <c r="N42" s="32">
        <v>44.9</v>
      </c>
      <c r="O42" s="42">
        <v>54.9</v>
      </c>
      <c r="P42" s="65"/>
      <c r="Q42" s="59">
        <v>52.9</v>
      </c>
      <c r="R42" s="60" t="e">
        <f t="shared" si="2"/>
        <v>#DIV/0!</v>
      </c>
      <c r="S42" s="58"/>
      <c r="U42" s="28" t="s">
        <v>239</v>
      </c>
      <c r="V42" s="11">
        <v>21.9</v>
      </c>
      <c r="W42" s="81">
        <f t="shared" si="10"/>
        <v>6.9999999999999982</v>
      </c>
      <c r="X42" s="81">
        <f t="shared" si="11"/>
        <v>11.099999999999998</v>
      </c>
    </row>
    <row r="43" spans="1:24" x14ac:dyDescent="0.3">
      <c r="A43" s="86" t="s">
        <v>81</v>
      </c>
      <c r="B43" s="86" t="s">
        <v>82</v>
      </c>
      <c r="C43" s="86" t="s">
        <v>3</v>
      </c>
      <c r="D43" s="28" t="s">
        <v>429</v>
      </c>
      <c r="E43" t="s">
        <v>83</v>
      </c>
      <c r="F43" s="11">
        <v>52.9</v>
      </c>
      <c r="G43" s="47">
        <v>52.9</v>
      </c>
      <c r="H43" s="52">
        <f t="shared" si="0"/>
        <v>1.0192678227360308</v>
      </c>
      <c r="I43" s="36">
        <v>51.9</v>
      </c>
      <c r="J43" s="32"/>
      <c r="K43" s="32"/>
      <c r="L43" s="32"/>
      <c r="M43" s="32"/>
      <c r="N43" s="32"/>
      <c r="O43" s="42">
        <v>62.9</v>
      </c>
      <c r="P43" s="65">
        <f t="shared" si="1"/>
        <v>1.1037024039305141</v>
      </c>
      <c r="Q43" s="59">
        <v>62.9</v>
      </c>
      <c r="R43" s="60">
        <f t="shared" si="2"/>
        <v>1.1037024039305141</v>
      </c>
      <c r="S43" s="58">
        <v>56.99</v>
      </c>
      <c r="U43" s="28" t="s">
        <v>241</v>
      </c>
      <c r="V43" s="11">
        <v>19.899999999999999</v>
      </c>
      <c r="W43" s="81">
        <f t="shared" si="10"/>
        <v>4.9999999999999982</v>
      </c>
      <c r="X43" s="81">
        <f t="shared" si="11"/>
        <v>9.0999999999999979</v>
      </c>
    </row>
    <row r="44" spans="1:24" x14ac:dyDescent="0.3">
      <c r="A44" s="86" t="s">
        <v>81</v>
      </c>
      <c r="B44" s="86" t="s">
        <v>82</v>
      </c>
      <c r="C44" s="86" t="s">
        <v>3</v>
      </c>
      <c r="D44" s="28" t="s">
        <v>84</v>
      </c>
      <c r="E44" t="s">
        <v>85</v>
      </c>
      <c r="F44" s="11">
        <v>62.9</v>
      </c>
      <c r="G44" s="47">
        <v>63.9</v>
      </c>
      <c r="H44" s="52">
        <f t="shared" si="0"/>
        <v>1.0158982511923689</v>
      </c>
      <c r="I44" s="36">
        <v>62.9</v>
      </c>
      <c r="J44" s="32">
        <v>58.9</v>
      </c>
      <c r="K44" s="32">
        <v>59.9</v>
      </c>
      <c r="L44" s="32">
        <v>60.9</v>
      </c>
      <c r="M44" s="32">
        <v>61.9</v>
      </c>
      <c r="N44" s="32">
        <v>62.9</v>
      </c>
      <c r="O44" s="42">
        <v>76.900000000000006</v>
      </c>
      <c r="P44" s="65">
        <f t="shared" si="1"/>
        <v>1.1146542977243081</v>
      </c>
      <c r="Q44" s="59">
        <v>74.900000000000006</v>
      </c>
      <c r="R44" s="60">
        <f t="shared" si="2"/>
        <v>1.08566458907088</v>
      </c>
      <c r="S44" s="58">
        <v>68.989999999999995</v>
      </c>
      <c r="U44" s="28" t="s">
        <v>243</v>
      </c>
      <c r="V44" s="11">
        <v>9.9</v>
      </c>
      <c r="W44" s="81"/>
      <c r="X44" s="81">
        <v>4.0999999999999996</v>
      </c>
    </row>
    <row r="45" spans="1:24" x14ac:dyDescent="0.3">
      <c r="A45" s="86"/>
      <c r="B45" s="86"/>
      <c r="C45" s="86"/>
      <c r="D45" s="28" t="s">
        <v>424</v>
      </c>
      <c r="F45" s="11">
        <v>47.9</v>
      </c>
      <c r="G45" s="47">
        <v>42.9</v>
      </c>
      <c r="H45" s="52">
        <f t="shared" si="0"/>
        <v>0.95545657015590202</v>
      </c>
      <c r="I45" s="36">
        <v>44.9</v>
      </c>
      <c r="J45" s="13"/>
      <c r="K45" s="13"/>
      <c r="L45" s="13"/>
      <c r="M45" s="13"/>
      <c r="N45" s="13"/>
      <c r="O45" s="42">
        <v>51.9</v>
      </c>
      <c r="P45" s="65"/>
      <c r="Q45" s="59">
        <v>44.9</v>
      </c>
      <c r="R45" s="60" t="e">
        <f t="shared" si="2"/>
        <v>#DIV/0!</v>
      </c>
    </row>
    <row r="46" spans="1:24" x14ac:dyDescent="0.3">
      <c r="A46" s="86" t="s">
        <v>81</v>
      </c>
      <c r="B46" s="86" t="s">
        <v>82</v>
      </c>
      <c r="C46" s="86" t="s">
        <v>3</v>
      </c>
      <c r="D46" s="28" t="s">
        <v>86</v>
      </c>
      <c r="E46" t="s">
        <v>87</v>
      </c>
      <c r="F46" s="11">
        <v>53.9</v>
      </c>
      <c r="G46" s="47">
        <v>55.9</v>
      </c>
      <c r="H46" s="52">
        <f t="shared" si="0"/>
        <v>1.0567107750472591</v>
      </c>
      <c r="I46" s="36">
        <v>52.9</v>
      </c>
      <c r="J46" s="32">
        <v>40.9</v>
      </c>
      <c r="K46" s="32">
        <v>41.9</v>
      </c>
      <c r="L46" s="32">
        <v>42.9</v>
      </c>
      <c r="M46" s="32">
        <v>43.9</v>
      </c>
      <c r="N46" s="32">
        <v>44.9</v>
      </c>
      <c r="O46" s="42">
        <v>63.9</v>
      </c>
      <c r="P46" s="65">
        <f t="shared" si="1"/>
        <v>1.1212493419898226</v>
      </c>
      <c r="Q46" s="59">
        <v>56.9</v>
      </c>
      <c r="R46" s="60">
        <f t="shared" si="2"/>
        <v>0.99842077557466213</v>
      </c>
      <c r="S46" s="58">
        <v>56.99</v>
      </c>
    </row>
    <row r="47" spans="1:24" x14ac:dyDescent="0.3">
      <c r="A47" s="86" t="s">
        <v>81</v>
      </c>
      <c r="B47" s="86" t="s">
        <v>82</v>
      </c>
      <c r="C47" s="86" t="s">
        <v>3</v>
      </c>
      <c r="D47" s="28" t="s">
        <v>88</v>
      </c>
      <c r="E47" t="s">
        <v>89</v>
      </c>
      <c r="F47" s="11">
        <v>65.900000000000006</v>
      </c>
      <c r="G47" s="47">
        <v>65.900000000000006</v>
      </c>
      <c r="H47" s="52">
        <f t="shared" si="0"/>
        <v>1.0476947535771066</v>
      </c>
      <c r="I47" s="36">
        <v>62.9</v>
      </c>
      <c r="J47" s="32">
        <v>58.9</v>
      </c>
      <c r="K47" s="32">
        <v>59.9</v>
      </c>
      <c r="L47" s="32">
        <v>60.9</v>
      </c>
      <c r="M47" s="32">
        <v>61.9</v>
      </c>
      <c r="N47" s="32">
        <v>62.9</v>
      </c>
      <c r="O47" s="42">
        <v>74.900000000000006</v>
      </c>
      <c r="P47" s="65">
        <f t="shared" si="1"/>
        <v>1.08566458907088</v>
      </c>
      <c r="Q47" s="59">
        <v>68.900000000000006</v>
      </c>
      <c r="R47" s="60">
        <f t="shared" si="2"/>
        <v>0.99869546311059587</v>
      </c>
      <c r="S47" s="58">
        <v>68.989999999999995</v>
      </c>
    </row>
    <row r="48" spans="1:24" x14ac:dyDescent="0.3">
      <c r="A48" s="86"/>
      <c r="B48" s="86"/>
      <c r="C48" s="86"/>
      <c r="D48" s="28" t="s">
        <v>425</v>
      </c>
      <c r="E48" s="28" t="s">
        <v>482</v>
      </c>
      <c r="F48" s="28" t="s">
        <v>483</v>
      </c>
      <c r="G48" s="47">
        <v>44.9</v>
      </c>
      <c r="H48" s="52">
        <f t="shared" si="0"/>
        <v>1.071599045346062</v>
      </c>
      <c r="I48" s="36">
        <v>41.9</v>
      </c>
      <c r="J48" s="28"/>
      <c r="K48" s="28"/>
      <c r="L48" s="28"/>
      <c r="M48" s="28"/>
      <c r="N48" s="28"/>
      <c r="O48" s="42">
        <v>53.9</v>
      </c>
      <c r="P48" s="65"/>
      <c r="Q48" s="59">
        <v>56.5</v>
      </c>
      <c r="R48" s="60" t="e">
        <f t="shared" si="2"/>
        <v>#DIV/0!</v>
      </c>
      <c r="S48" s="58"/>
    </row>
    <row r="49" spans="1:19" x14ac:dyDescent="0.3">
      <c r="A49" s="86" t="s">
        <v>81</v>
      </c>
      <c r="B49" s="86" t="s">
        <v>82</v>
      </c>
      <c r="C49" s="86" t="s">
        <v>3</v>
      </c>
      <c r="D49" s="28" t="s">
        <v>90</v>
      </c>
      <c r="F49" s="11">
        <v>56.9</v>
      </c>
      <c r="G49" s="47">
        <v>54.9</v>
      </c>
      <c r="H49" s="52">
        <f t="shared" si="0"/>
        <v>1.0378071833648392</v>
      </c>
      <c r="I49" s="36">
        <v>52.9</v>
      </c>
      <c r="J49" s="32"/>
      <c r="K49" s="32"/>
      <c r="L49" s="32"/>
      <c r="M49" s="32"/>
      <c r="N49" s="32"/>
      <c r="O49" s="42">
        <v>65.900000000000006</v>
      </c>
      <c r="P49" s="65">
        <f t="shared" si="1"/>
        <v>1.117138498050517</v>
      </c>
      <c r="Q49" s="59">
        <v>64.099999999999994</v>
      </c>
      <c r="R49" s="60">
        <f t="shared" si="2"/>
        <v>1.0866248516697743</v>
      </c>
      <c r="S49" s="58">
        <v>58.99</v>
      </c>
    </row>
    <row r="50" spans="1:19" x14ac:dyDescent="0.3">
      <c r="A50" s="86" t="s">
        <v>81</v>
      </c>
      <c r="B50" s="86" t="s">
        <v>82</v>
      </c>
      <c r="C50" s="86" t="s">
        <v>3</v>
      </c>
      <c r="D50" s="28" t="s">
        <v>91</v>
      </c>
      <c r="E50" t="s">
        <v>92</v>
      </c>
      <c r="F50" s="11">
        <v>66.900000000000006</v>
      </c>
      <c r="G50" s="47">
        <v>64.900000000000006</v>
      </c>
      <c r="H50" s="52">
        <f t="shared" si="0"/>
        <v>1.0317965023847377</v>
      </c>
      <c r="I50" s="36">
        <v>62.9</v>
      </c>
      <c r="J50" s="32">
        <v>60.9</v>
      </c>
      <c r="K50" s="32">
        <v>61.9</v>
      </c>
      <c r="L50" s="32">
        <v>62.9</v>
      </c>
      <c r="M50" s="32">
        <v>63.9</v>
      </c>
      <c r="N50" s="32">
        <v>64.900000000000006</v>
      </c>
      <c r="O50" s="42">
        <v>77.900000000000006</v>
      </c>
      <c r="P50" s="65">
        <f t="shared" si="1"/>
        <v>1.129149152051022</v>
      </c>
      <c r="Q50" s="59">
        <v>78.900000000000006</v>
      </c>
      <c r="R50" s="60">
        <f t="shared" si="2"/>
        <v>1.143644006377736</v>
      </c>
      <c r="S50" s="58">
        <v>68.989999999999995</v>
      </c>
    </row>
    <row r="51" spans="1:19" x14ac:dyDescent="0.3">
      <c r="A51" s="86"/>
      <c r="B51" s="86"/>
      <c r="C51" s="2"/>
      <c r="D51" s="28" t="s">
        <v>435</v>
      </c>
      <c r="F51" s="11">
        <v>48.9</v>
      </c>
      <c r="G51" s="47">
        <v>44.9</v>
      </c>
      <c r="H51" s="52">
        <f t="shared" si="0"/>
        <v>1</v>
      </c>
      <c r="I51" s="36">
        <v>44.9</v>
      </c>
      <c r="J51" s="32"/>
      <c r="K51" s="32"/>
      <c r="L51" s="32"/>
      <c r="M51" s="32"/>
      <c r="N51" s="32"/>
      <c r="O51" s="42">
        <v>53.9</v>
      </c>
      <c r="P51" s="65"/>
      <c r="Q51" s="59">
        <v>52.9</v>
      </c>
      <c r="R51" s="60" t="e">
        <f t="shared" si="2"/>
        <v>#DIV/0!</v>
      </c>
      <c r="S51" s="58"/>
    </row>
    <row r="52" spans="1:19" x14ac:dyDescent="0.3">
      <c r="A52" s="86"/>
      <c r="B52" s="86"/>
      <c r="C52" s="2"/>
      <c r="D52" s="28" t="s">
        <v>436</v>
      </c>
      <c r="F52" s="11">
        <v>52.9</v>
      </c>
      <c r="G52" s="47">
        <v>54.9</v>
      </c>
      <c r="H52" s="52">
        <f t="shared" si="0"/>
        <v>1.1002004008016033</v>
      </c>
      <c r="I52" s="36">
        <v>49.9</v>
      </c>
      <c r="J52" s="32"/>
      <c r="K52" s="32"/>
      <c r="L52" s="32"/>
      <c r="M52" s="32"/>
      <c r="N52" s="32"/>
      <c r="O52" s="42">
        <v>65.900000000000006</v>
      </c>
      <c r="P52" s="65"/>
      <c r="Q52" s="59">
        <v>62.4</v>
      </c>
      <c r="R52" s="60" t="e">
        <f t="shared" si="2"/>
        <v>#DIV/0!</v>
      </c>
      <c r="S52" s="58"/>
    </row>
    <row r="53" spans="1:19" x14ac:dyDescent="0.3">
      <c r="A53" s="86"/>
      <c r="B53" s="86"/>
      <c r="C53" s="2"/>
      <c r="D53" s="28" t="s">
        <v>437</v>
      </c>
      <c r="F53" s="11">
        <v>64.900000000000006</v>
      </c>
      <c r="G53" s="47">
        <v>64.900000000000006</v>
      </c>
      <c r="H53" s="52">
        <f t="shared" si="0"/>
        <v>1.0317965023847377</v>
      </c>
      <c r="I53" s="36">
        <v>62.9</v>
      </c>
      <c r="J53" s="32"/>
      <c r="K53" s="32"/>
      <c r="L53" s="32"/>
      <c r="M53" s="32"/>
      <c r="N53" s="32"/>
      <c r="O53" s="42">
        <v>77.900000000000006</v>
      </c>
      <c r="P53" s="65"/>
      <c r="Q53" s="59">
        <v>76.5</v>
      </c>
      <c r="R53" s="60" t="e">
        <f t="shared" si="2"/>
        <v>#DIV/0!</v>
      </c>
      <c r="S53" s="58"/>
    </row>
    <row r="54" spans="1:19" x14ac:dyDescent="0.3">
      <c r="A54" s="86"/>
      <c r="B54" s="86"/>
      <c r="C54" s="2"/>
      <c r="D54" s="28" t="s">
        <v>470</v>
      </c>
      <c r="F54" s="11">
        <v>45.9</v>
      </c>
      <c r="G54" s="47">
        <v>45.9</v>
      </c>
      <c r="H54" s="52">
        <f t="shared" si="0"/>
        <v>1.0455580865603644</v>
      </c>
      <c r="I54" s="36">
        <v>43.9</v>
      </c>
      <c r="J54" s="32">
        <v>42.9</v>
      </c>
      <c r="K54" s="32">
        <v>43.9</v>
      </c>
      <c r="L54" s="32">
        <v>44.9</v>
      </c>
      <c r="M54" s="32">
        <v>45.9</v>
      </c>
      <c r="N54" s="32">
        <v>46.9</v>
      </c>
      <c r="O54" s="42">
        <v>54.9</v>
      </c>
      <c r="P54" s="65"/>
      <c r="Q54" s="59">
        <v>53.9</v>
      </c>
      <c r="R54" s="60" t="e">
        <f t="shared" si="2"/>
        <v>#DIV/0!</v>
      </c>
      <c r="S54" s="58"/>
    </row>
    <row r="55" spans="1:19" x14ac:dyDescent="0.3">
      <c r="A55" s="86"/>
      <c r="B55" s="86"/>
      <c r="C55" s="2"/>
      <c r="D55" s="28" t="s">
        <v>432</v>
      </c>
      <c r="E55" t="s">
        <v>94</v>
      </c>
      <c r="F55" s="11">
        <v>49.9</v>
      </c>
      <c r="G55" s="47">
        <v>55.9</v>
      </c>
      <c r="H55" s="52">
        <f t="shared" si="0"/>
        <v>1.0371057513914657</v>
      </c>
      <c r="I55" s="36">
        <v>53.9</v>
      </c>
      <c r="J55" s="32">
        <v>49.9</v>
      </c>
      <c r="K55" s="32">
        <v>50.9</v>
      </c>
      <c r="L55" s="32">
        <v>51.9</v>
      </c>
      <c r="M55" s="32">
        <v>52.9</v>
      </c>
      <c r="N55" s="32">
        <v>53.9</v>
      </c>
      <c r="O55" s="42">
        <v>66.900000000000006</v>
      </c>
      <c r="P55" s="65"/>
      <c r="Q55" s="59">
        <v>58.9</v>
      </c>
      <c r="R55" s="60" t="e">
        <f t="shared" si="2"/>
        <v>#DIV/0!</v>
      </c>
      <c r="S55" s="58"/>
    </row>
    <row r="56" spans="1:19" x14ac:dyDescent="0.3">
      <c r="A56" s="86"/>
      <c r="B56" s="86"/>
      <c r="C56" s="2"/>
      <c r="D56" s="28" t="s">
        <v>471</v>
      </c>
      <c r="E56" t="s">
        <v>96</v>
      </c>
      <c r="F56" s="11">
        <v>61.9</v>
      </c>
      <c r="G56" s="47">
        <v>65.900000000000006</v>
      </c>
      <c r="H56" s="52">
        <f t="shared" si="0"/>
        <v>1.1001669449081803</v>
      </c>
      <c r="I56" s="36">
        <v>59.9</v>
      </c>
      <c r="J56" s="32"/>
      <c r="K56" s="32"/>
      <c r="L56" s="32"/>
      <c r="M56" s="32"/>
      <c r="N56" s="32"/>
      <c r="O56" s="42">
        <v>78.900000000000006</v>
      </c>
      <c r="P56" s="65"/>
      <c r="Q56" s="59">
        <v>72.900000000000006</v>
      </c>
      <c r="R56" s="60" t="e">
        <f t="shared" si="2"/>
        <v>#DIV/0!</v>
      </c>
      <c r="S56" s="58"/>
    </row>
    <row r="57" spans="1:19" x14ac:dyDescent="0.3">
      <c r="A57" s="86"/>
      <c r="B57" s="86"/>
      <c r="C57" s="2"/>
      <c r="D57" s="28" t="s">
        <v>426</v>
      </c>
      <c r="F57" s="11">
        <v>39.9</v>
      </c>
      <c r="G57" s="47">
        <v>39.9</v>
      </c>
      <c r="H57" s="52">
        <f t="shared" si="0"/>
        <v>1</v>
      </c>
      <c r="I57" s="36">
        <v>39.9</v>
      </c>
      <c r="J57" s="32">
        <v>35.9</v>
      </c>
      <c r="K57" s="32">
        <v>36.9</v>
      </c>
      <c r="L57" s="32">
        <v>37.9</v>
      </c>
      <c r="M57" s="32">
        <v>38.9</v>
      </c>
      <c r="N57" s="32">
        <v>39.9</v>
      </c>
      <c r="O57" s="42">
        <v>47.9</v>
      </c>
      <c r="P57" s="65"/>
      <c r="Q57" s="59">
        <v>52.9</v>
      </c>
      <c r="R57" s="60" t="e">
        <f t="shared" si="2"/>
        <v>#DIV/0!</v>
      </c>
      <c r="S57" s="58"/>
    </row>
    <row r="58" spans="1:19" x14ac:dyDescent="0.3">
      <c r="A58" s="86" t="s">
        <v>81</v>
      </c>
      <c r="B58" s="86" t="s">
        <v>82</v>
      </c>
      <c r="C58" s="86" t="s">
        <v>8</v>
      </c>
      <c r="D58" s="28" t="s">
        <v>93</v>
      </c>
      <c r="E58" t="s">
        <v>94</v>
      </c>
      <c r="F58" s="11">
        <v>49.9</v>
      </c>
      <c r="G58" s="47">
        <v>49.9</v>
      </c>
      <c r="H58" s="52">
        <f t="shared" si="0"/>
        <v>1.0417536534446765</v>
      </c>
      <c r="I58" s="36">
        <v>47.9</v>
      </c>
      <c r="J58" s="32">
        <v>47.9</v>
      </c>
      <c r="K58" s="32">
        <v>48.9</v>
      </c>
      <c r="L58" s="32">
        <v>49.9</v>
      </c>
      <c r="M58" s="32">
        <v>50.9</v>
      </c>
      <c r="N58" s="32">
        <v>51.9</v>
      </c>
      <c r="O58" s="42">
        <v>59.9</v>
      </c>
      <c r="P58" s="65">
        <f t="shared" si="1"/>
        <v>1.0510615897525881</v>
      </c>
      <c r="Q58" s="59">
        <v>54.9</v>
      </c>
      <c r="R58" s="60">
        <f t="shared" si="2"/>
        <v>0.96332689945604488</v>
      </c>
      <c r="S58" s="58">
        <v>56.99</v>
      </c>
    </row>
    <row r="59" spans="1:19" x14ac:dyDescent="0.3">
      <c r="A59" s="86" t="s">
        <v>81</v>
      </c>
      <c r="B59" s="86" t="s">
        <v>82</v>
      </c>
      <c r="C59" s="86" t="s">
        <v>8</v>
      </c>
      <c r="D59" s="28" t="s">
        <v>95</v>
      </c>
      <c r="E59" t="s">
        <v>96</v>
      </c>
      <c r="F59" s="11">
        <v>59.9</v>
      </c>
      <c r="G59" s="47">
        <v>59.9</v>
      </c>
      <c r="H59" s="52">
        <f t="shared" si="0"/>
        <v>1</v>
      </c>
      <c r="I59" s="36">
        <v>59.9</v>
      </c>
      <c r="J59" s="32">
        <v>53.9</v>
      </c>
      <c r="K59" s="32">
        <v>54.9</v>
      </c>
      <c r="L59" s="32">
        <v>55.9</v>
      </c>
      <c r="M59" s="32">
        <v>56.9</v>
      </c>
      <c r="N59" s="32">
        <v>57.9</v>
      </c>
      <c r="O59" s="42">
        <v>71.900000000000006</v>
      </c>
      <c r="P59" s="65">
        <f t="shared" si="1"/>
        <v>1.0421800260907379</v>
      </c>
      <c r="Q59" s="59">
        <v>66.900000000000006</v>
      </c>
      <c r="R59" s="60">
        <f t="shared" si="2"/>
        <v>0.96970575445716789</v>
      </c>
      <c r="S59" s="58">
        <v>68.989999999999995</v>
      </c>
    </row>
    <row r="60" spans="1:19" x14ac:dyDescent="0.3">
      <c r="A60" s="86"/>
      <c r="B60" s="86"/>
      <c r="C60" s="86"/>
      <c r="D60" s="28" t="s">
        <v>427</v>
      </c>
      <c r="F60" s="11">
        <v>40.9</v>
      </c>
      <c r="G60" s="47">
        <v>42.9</v>
      </c>
      <c r="H60" s="52">
        <f t="shared" si="0"/>
        <v>1.0751879699248121</v>
      </c>
      <c r="I60" s="36">
        <v>39.9</v>
      </c>
      <c r="J60" s="32">
        <v>35.9</v>
      </c>
      <c r="K60" s="32">
        <v>36.9</v>
      </c>
      <c r="L60" s="32">
        <v>37.9</v>
      </c>
      <c r="M60" s="32">
        <v>38.9</v>
      </c>
      <c r="N60" s="32">
        <v>39.9</v>
      </c>
      <c r="O60" s="42">
        <v>51.3</v>
      </c>
      <c r="P60" s="65"/>
      <c r="Q60" s="59">
        <v>56.5</v>
      </c>
      <c r="R60" s="60" t="e">
        <f t="shared" si="2"/>
        <v>#DIV/0!</v>
      </c>
    </row>
    <row r="61" spans="1:19" x14ac:dyDescent="0.3">
      <c r="A61" s="86" t="s">
        <v>81</v>
      </c>
      <c r="B61" s="86" t="s">
        <v>82</v>
      </c>
      <c r="C61" s="86" t="s">
        <v>8</v>
      </c>
      <c r="D61" s="28" t="s">
        <v>97</v>
      </c>
      <c r="E61" t="s">
        <v>98</v>
      </c>
      <c r="F61" s="11">
        <v>49.9</v>
      </c>
      <c r="G61" s="47">
        <v>52.9</v>
      </c>
      <c r="H61" s="52">
        <f t="shared" si="0"/>
        <v>1</v>
      </c>
      <c r="I61" s="36">
        <v>52.9</v>
      </c>
      <c r="J61" s="32">
        <v>47.9</v>
      </c>
      <c r="K61" s="32">
        <v>48.9</v>
      </c>
      <c r="L61" s="32">
        <v>49.9</v>
      </c>
      <c r="M61" s="32">
        <v>50.9</v>
      </c>
      <c r="N61" s="32">
        <v>51.9</v>
      </c>
      <c r="O61" s="42">
        <v>63.3</v>
      </c>
      <c r="P61" s="65">
        <f t="shared" si="1"/>
        <v>1.1945650122664653</v>
      </c>
      <c r="Q61" s="59">
        <v>55.9</v>
      </c>
      <c r="R61" s="60">
        <f t="shared" si="2"/>
        <v>1.0549160218909228</v>
      </c>
      <c r="S61" s="58">
        <v>52.99</v>
      </c>
    </row>
    <row r="62" spans="1:19" x14ac:dyDescent="0.3">
      <c r="A62" s="86" t="s">
        <v>81</v>
      </c>
      <c r="B62" s="86" t="s">
        <v>82</v>
      </c>
      <c r="C62" s="86" t="s">
        <v>8</v>
      </c>
      <c r="D62" s="28" t="s">
        <v>99</v>
      </c>
      <c r="E62" t="s">
        <v>100</v>
      </c>
      <c r="F62" s="11">
        <v>60.9</v>
      </c>
      <c r="G62" s="47">
        <v>62.9</v>
      </c>
      <c r="H62" s="52">
        <f t="shared" si="0"/>
        <v>1.0500834724540902</v>
      </c>
      <c r="I62" s="36">
        <v>59.9</v>
      </c>
      <c r="J62" s="32">
        <v>53.9</v>
      </c>
      <c r="K62" s="32">
        <v>54.9</v>
      </c>
      <c r="L62" s="32">
        <v>55.9</v>
      </c>
      <c r="M62" s="32">
        <v>56.9</v>
      </c>
      <c r="N62" s="32">
        <v>57.9</v>
      </c>
      <c r="O62" s="42">
        <v>74.900000000000006</v>
      </c>
      <c r="P62" s="65">
        <f t="shared" si="1"/>
        <v>1.1524849976919529</v>
      </c>
      <c r="Q62" s="59">
        <v>67.900000000000006</v>
      </c>
      <c r="R62" s="60">
        <f t="shared" si="2"/>
        <v>1.0447761194029852</v>
      </c>
      <c r="S62" s="58">
        <v>64.989999999999995</v>
      </c>
    </row>
    <row r="63" spans="1:19" x14ac:dyDescent="0.3">
      <c r="A63" s="86"/>
      <c r="B63" s="86"/>
      <c r="C63" s="86"/>
      <c r="D63" s="28" t="s">
        <v>428</v>
      </c>
      <c r="F63" s="11">
        <v>42.9</v>
      </c>
      <c r="G63" s="47">
        <v>42.9</v>
      </c>
      <c r="H63" s="52">
        <f t="shared" si="0"/>
        <v>1.0238663484486874</v>
      </c>
      <c r="I63" s="36">
        <v>41.9</v>
      </c>
      <c r="J63" s="32">
        <v>37.9</v>
      </c>
      <c r="K63" s="32">
        <v>38.9</v>
      </c>
      <c r="L63" s="32">
        <v>39.9</v>
      </c>
      <c r="M63" s="32">
        <v>40.9</v>
      </c>
      <c r="N63" s="32">
        <v>41.9</v>
      </c>
      <c r="O63" s="42">
        <v>50.9</v>
      </c>
      <c r="P63" s="65"/>
      <c r="Q63" s="59">
        <v>56.5</v>
      </c>
      <c r="R63" s="60" t="e">
        <f t="shared" si="2"/>
        <v>#DIV/0!</v>
      </c>
      <c r="S63" s="58"/>
    </row>
    <row r="64" spans="1:19" x14ac:dyDescent="0.3">
      <c r="A64" s="86" t="s">
        <v>81</v>
      </c>
      <c r="B64" s="86" t="s">
        <v>82</v>
      </c>
      <c r="C64" s="86" t="s">
        <v>8</v>
      </c>
      <c r="D64" s="28" t="s">
        <v>101</v>
      </c>
      <c r="E64" t="s">
        <v>102</v>
      </c>
      <c r="F64" s="11">
        <v>51.9</v>
      </c>
      <c r="G64" s="47">
        <v>52.9</v>
      </c>
      <c r="H64" s="52">
        <f t="shared" si="0"/>
        <v>1.060120240480962</v>
      </c>
      <c r="I64" s="36">
        <v>49.9</v>
      </c>
      <c r="J64" s="32">
        <v>44.9</v>
      </c>
      <c r="K64" s="32">
        <v>45.9</v>
      </c>
      <c r="L64" s="32">
        <v>46.9</v>
      </c>
      <c r="M64" s="32">
        <v>47.9</v>
      </c>
      <c r="N64" s="32">
        <v>48.9</v>
      </c>
      <c r="O64" s="42">
        <v>62.9</v>
      </c>
      <c r="P64" s="65">
        <f t="shared" si="1"/>
        <v>1.1870164181921117</v>
      </c>
      <c r="Q64" s="59">
        <v>54.9</v>
      </c>
      <c r="R64" s="60">
        <f t="shared" si="2"/>
        <v>1.0360445367050386</v>
      </c>
      <c r="S64" s="58">
        <v>52.99</v>
      </c>
    </row>
    <row r="65" spans="1:23" x14ac:dyDescent="0.3">
      <c r="A65" s="86"/>
      <c r="B65" s="86"/>
      <c r="C65" s="86"/>
      <c r="D65" s="28" t="s">
        <v>103</v>
      </c>
      <c r="E65" t="s">
        <v>104</v>
      </c>
      <c r="F65" s="11">
        <v>61.9</v>
      </c>
      <c r="G65" s="47">
        <v>62.9</v>
      </c>
      <c r="H65" s="52">
        <f t="shared" si="0"/>
        <v>1.0500834724540902</v>
      </c>
      <c r="I65" s="36">
        <v>59.9</v>
      </c>
      <c r="J65" s="32">
        <v>55.9</v>
      </c>
      <c r="K65" s="32">
        <v>56.9</v>
      </c>
      <c r="L65" s="32">
        <v>57.9</v>
      </c>
      <c r="M65" s="32">
        <v>58.9</v>
      </c>
      <c r="N65" s="32">
        <v>59.9</v>
      </c>
      <c r="O65" s="42">
        <v>74.900000000000006</v>
      </c>
      <c r="P65" s="65">
        <f t="shared" si="1"/>
        <v>1.827274945108563</v>
      </c>
      <c r="Q65" s="59">
        <v>67.900000000000006</v>
      </c>
      <c r="R65" s="60">
        <f t="shared" si="2"/>
        <v>1.6565015857526226</v>
      </c>
      <c r="S65" s="58">
        <v>40.99</v>
      </c>
    </row>
    <row r="66" spans="1:23" x14ac:dyDescent="0.3">
      <c r="A66" s="86"/>
      <c r="B66" s="86"/>
      <c r="C66" s="86"/>
      <c r="D66" s="28" t="s">
        <v>434</v>
      </c>
      <c r="F66" s="11">
        <v>45.9</v>
      </c>
      <c r="G66" s="47">
        <v>42.9</v>
      </c>
      <c r="H66" s="52">
        <f t="shared" si="0"/>
        <v>1.0751879699248121</v>
      </c>
      <c r="I66" s="36">
        <v>39.9</v>
      </c>
      <c r="J66" s="32">
        <v>37.9</v>
      </c>
      <c r="K66" s="32">
        <v>38.9</v>
      </c>
      <c r="L66" s="32">
        <v>39.9</v>
      </c>
      <c r="M66" s="32">
        <v>40.9</v>
      </c>
      <c r="N66" s="32">
        <v>41.9</v>
      </c>
      <c r="O66" s="42">
        <v>50.9</v>
      </c>
      <c r="P66" s="65"/>
      <c r="Q66" s="59">
        <v>53.9</v>
      </c>
      <c r="R66" s="60" t="e">
        <f t="shared" si="2"/>
        <v>#DIV/0!</v>
      </c>
      <c r="S66" s="58"/>
    </row>
    <row r="67" spans="1:23" x14ac:dyDescent="0.3">
      <c r="A67" s="86"/>
      <c r="B67" s="86"/>
      <c r="C67" s="86"/>
      <c r="D67" s="28" t="s">
        <v>432</v>
      </c>
      <c r="E67" t="s">
        <v>98</v>
      </c>
      <c r="F67" s="11">
        <v>49.9</v>
      </c>
      <c r="G67" s="47">
        <v>52.9</v>
      </c>
      <c r="H67" s="52">
        <f t="shared" si="0"/>
        <v>1.081799591002045</v>
      </c>
      <c r="I67" s="36">
        <v>48.9</v>
      </c>
      <c r="J67" s="32">
        <v>44.9</v>
      </c>
      <c r="K67" s="32">
        <v>45.9</v>
      </c>
      <c r="L67" s="32">
        <v>46.9</v>
      </c>
      <c r="M67" s="32">
        <v>47.9</v>
      </c>
      <c r="N67" s="32">
        <v>48.9</v>
      </c>
      <c r="O67" s="42">
        <v>62.9</v>
      </c>
      <c r="P67" s="65"/>
      <c r="Q67" s="59">
        <v>58.9</v>
      </c>
      <c r="R67" s="60" t="e">
        <f t="shared" si="2"/>
        <v>#DIV/0!</v>
      </c>
      <c r="S67" s="58"/>
    </row>
    <row r="68" spans="1:23" x14ac:dyDescent="0.3">
      <c r="A68" s="86"/>
      <c r="B68" s="86"/>
      <c r="C68" s="86"/>
      <c r="D68" s="28" t="s">
        <v>433</v>
      </c>
      <c r="E68" t="s">
        <v>100</v>
      </c>
      <c r="F68" s="11">
        <v>61.9</v>
      </c>
      <c r="G68" s="47">
        <v>62.9</v>
      </c>
      <c r="H68" s="52">
        <f t="shared" ref="H68:H131" si="12">G68/I68</f>
        <v>1.0328407224958949</v>
      </c>
      <c r="I68" s="36">
        <v>60.9</v>
      </c>
      <c r="J68" s="32">
        <v>55.9</v>
      </c>
      <c r="K68" s="32">
        <v>56.9</v>
      </c>
      <c r="L68" s="32">
        <v>57.9</v>
      </c>
      <c r="M68" s="32">
        <v>58.9</v>
      </c>
      <c r="N68" s="32">
        <v>59.9</v>
      </c>
      <c r="O68" s="42">
        <v>74.900000000000006</v>
      </c>
      <c r="P68" s="65"/>
      <c r="Q68" s="59">
        <v>73.900000000000006</v>
      </c>
      <c r="R68" s="60" t="e">
        <f t="shared" ref="R68:R131" si="13">Q68/S68</f>
        <v>#DIV/0!</v>
      </c>
    </row>
    <row r="69" spans="1:23" x14ac:dyDescent="0.3">
      <c r="A69" s="86" t="s">
        <v>81</v>
      </c>
      <c r="B69" s="2" t="s">
        <v>15</v>
      </c>
      <c r="C69" s="2" t="s">
        <v>8</v>
      </c>
      <c r="D69" s="28" t="s">
        <v>469</v>
      </c>
      <c r="E69" t="s">
        <v>467</v>
      </c>
      <c r="F69" s="11">
        <v>49.9</v>
      </c>
      <c r="G69" s="47">
        <v>46.9</v>
      </c>
      <c r="H69" s="52">
        <f t="shared" si="12"/>
        <v>1</v>
      </c>
      <c r="I69" s="36">
        <v>46.9</v>
      </c>
      <c r="J69" s="32">
        <v>41.9</v>
      </c>
      <c r="K69" s="32">
        <v>41.9</v>
      </c>
      <c r="L69" s="32">
        <v>41.9</v>
      </c>
      <c r="M69" s="32">
        <v>41.9</v>
      </c>
      <c r="N69" s="32">
        <v>41.9</v>
      </c>
      <c r="O69" s="42">
        <v>55.9</v>
      </c>
      <c r="P69" s="65"/>
      <c r="Q69" s="59">
        <v>58.9</v>
      </c>
      <c r="R69" s="60" t="e">
        <f t="shared" si="13"/>
        <v>#DIV/0!</v>
      </c>
    </row>
    <row r="70" spans="1:23" x14ac:dyDescent="0.3">
      <c r="A70" s="86" t="s">
        <v>81</v>
      </c>
      <c r="B70" s="86" t="s">
        <v>105</v>
      </c>
      <c r="C70" s="86" t="s">
        <v>3</v>
      </c>
      <c r="D70" s="28" t="s">
        <v>468</v>
      </c>
      <c r="E70" t="s">
        <v>106</v>
      </c>
      <c r="F70" s="11">
        <v>46.9</v>
      </c>
      <c r="G70" s="47">
        <v>46.9</v>
      </c>
      <c r="H70" s="52">
        <f t="shared" si="12"/>
        <v>1</v>
      </c>
      <c r="I70" s="36">
        <v>46.9</v>
      </c>
      <c r="J70" s="32">
        <v>41.9</v>
      </c>
      <c r="K70" s="32">
        <v>42.9</v>
      </c>
      <c r="L70" s="32">
        <v>43.9</v>
      </c>
      <c r="M70" s="32">
        <v>44.9</v>
      </c>
      <c r="N70" s="32">
        <v>45.9</v>
      </c>
      <c r="O70" s="42">
        <v>55.9</v>
      </c>
      <c r="P70" s="65">
        <f t="shared" ref="P70:P126" si="14">O70/S70</f>
        <v>1.1182236447289458</v>
      </c>
      <c r="Q70" s="59">
        <v>49.9</v>
      </c>
      <c r="R70" s="60">
        <f t="shared" si="13"/>
        <v>0.99819963992798555</v>
      </c>
      <c r="S70" s="58">
        <v>49.99</v>
      </c>
    </row>
    <row r="71" spans="1:23" x14ac:dyDescent="0.3">
      <c r="A71" s="86" t="s">
        <v>81</v>
      </c>
      <c r="B71" s="86" t="s">
        <v>105</v>
      </c>
      <c r="C71" s="86" t="s">
        <v>3</v>
      </c>
      <c r="D71" s="28" t="s">
        <v>107</v>
      </c>
      <c r="E71" t="s">
        <v>108</v>
      </c>
      <c r="F71" s="11">
        <v>49.9</v>
      </c>
      <c r="G71" s="47">
        <v>49.9</v>
      </c>
      <c r="H71" s="52">
        <f t="shared" si="12"/>
        <v>1</v>
      </c>
      <c r="I71" s="36">
        <v>49.9</v>
      </c>
      <c r="J71" s="32">
        <v>48.9</v>
      </c>
      <c r="K71" s="32">
        <v>48.9</v>
      </c>
      <c r="L71" s="32">
        <v>48.9</v>
      </c>
      <c r="M71" s="32">
        <v>48.9</v>
      </c>
      <c r="N71" s="32">
        <v>48.9</v>
      </c>
      <c r="O71" s="42">
        <v>59.9</v>
      </c>
      <c r="P71" s="65">
        <f t="shared" si="14"/>
        <v>1.0510615897525881</v>
      </c>
      <c r="Q71" s="59">
        <v>57.9</v>
      </c>
      <c r="R71" s="60">
        <f t="shared" si="13"/>
        <v>1.0159677136339709</v>
      </c>
      <c r="S71" s="58">
        <v>56.99</v>
      </c>
    </row>
    <row r="72" spans="1:23" x14ac:dyDescent="0.3">
      <c r="A72" s="86" t="s">
        <v>81</v>
      </c>
      <c r="B72" s="86" t="s">
        <v>105</v>
      </c>
      <c r="C72" s="86" t="s">
        <v>3</v>
      </c>
      <c r="D72" s="28" t="s">
        <v>109</v>
      </c>
      <c r="E72" t="s">
        <v>110</v>
      </c>
      <c r="F72" s="11">
        <v>49.9</v>
      </c>
      <c r="G72" s="47">
        <v>49.9</v>
      </c>
      <c r="H72" s="52">
        <f t="shared" si="12"/>
        <v>1.0204498977505112</v>
      </c>
      <c r="I72" s="36">
        <v>48.9</v>
      </c>
      <c r="J72" s="32">
        <v>44.9</v>
      </c>
      <c r="K72" s="32">
        <v>45.9</v>
      </c>
      <c r="L72" s="32">
        <v>46.9</v>
      </c>
      <c r="M72" s="32">
        <v>47.9</v>
      </c>
      <c r="N72" s="32">
        <v>48.9</v>
      </c>
      <c r="O72" s="42">
        <v>59.9</v>
      </c>
      <c r="P72" s="65">
        <f t="shared" si="14"/>
        <v>1.1304019626344592</v>
      </c>
      <c r="Q72" s="59">
        <v>58.9</v>
      </c>
      <c r="R72" s="60">
        <f t="shared" si="13"/>
        <v>1.111530477448575</v>
      </c>
      <c r="S72" s="58">
        <v>52.99</v>
      </c>
    </row>
    <row r="73" spans="1:23" x14ac:dyDescent="0.3">
      <c r="A73" s="86" t="s">
        <v>81</v>
      </c>
      <c r="B73" s="86" t="s">
        <v>105</v>
      </c>
      <c r="C73" s="86" t="s">
        <v>3</v>
      </c>
      <c r="D73" s="28" t="s">
        <v>111</v>
      </c>
      <c r="E73" t="s">
        <v>112</v>
      </c>
      <c r="F73" s="11">
        <v>47.9</v>
      </c>
      <c r="G73" s="47">
        <v>47.9</v>
      </c>
      <c r="H73" s="52">
        <f t="shared" si="12"/>
        <v>1</v>
      </c>
      <c r="I73" s="36">
        <v>47.9</v>
      </c>
      <c r="J73" s="32">
        <v>42.9</v>
      </c>
      <c r="K73" s="32">
        <v>43.9</v>
      </c>
      <c r="L73" s="32">
        <v>44.9</v>
      </c>
      <c r="M73" s="32">
        <v>45.9</v>
      </c>
      <c r="N73" s="32">
        <v>46.9</v>
      </c>
      <c r="O73" s="42">
        <v>57.9</v>
      </c>
      <c r="P73" s="65">
        <f t="shared" si="14"/>
        <v>1.1355167679937241</v>
      </c>
      <c r="Q73" s="59">
        <v>51.9</v>
      </c>
      <c r="R73" s="60">
        <f t="shared" si="13"/>
        <v>1.0178466365954109</v>
      </c>
      <c r="S73" s="58">
        <v>50.99</v>
      </c>
    </row>
    <row r="74" spans="1:23" x14ac:dyDescent="0.3">
      <c r="A74" s="86" t="s">
        <v>81</v>
      </c>
      <c r="B74" s="86" t="s">
        <v>105</v>
      </c>
      <c r="C74" s="86" t="s">
        <v>8</v>
      </c>
      <c r="D74" s="28" t="s">
        <v>113</v>
      </c>
      <c r="E74" t="s">
        <v>114</v>
      </c>
      <c r="F74" s="11">
        <v>41.9</v>
      </c>
      <c r="G74" s="47">
        <v>41.9</v>
      </c>
      <c r="H74" s="52">
        <f t="shared" si="12"/>
        <v>1</v>
      </c>
      <c r="I74" s="36">
        <v>41.9</v>
      </c>
      <c r="J74" s="32">
        <v>36.9</v>
      </c>
      <c r="K74" s="32">
        <v>37.9</v>
      </c>
      <c r="L74" s="32">
        <v>38.9</v>
      </c>
      <c r="M74" s="32">
        <v>39.9</v>
      </c>
      <c r="N74" s="32">
        <v>40.9</v>
      </c>
      <c r="O74" s="42">
        <v>49.9</v>
      </c>
      <c r="P74" s="65">
        <f t="shared" si="14"/>
        <v>1.1343487156171856</v>
      </c>
      <c r="Q74" s="59">
        <v>49.4</v>
      </c>
      <c r="R74" s="60">
        <f t="shared" si="13"/>
        <v>1.1229824960218231</v>
      </c>
      <c r="S74" s="58">
        <v>43.99</v>
      </c>
    </row>
    <row r="75" spans="1:23" x14ac:dyDescent="0.3">
      <c r="A75" s="86" t="s">
        <v>81</v>
      </c>
      <c r="B75" s="86" t="s">
        <v>105</v>
      </c>
      <c r="C75" s="86" t="s">
        <v>8</v>
      </c>
      <c r="D75" s="28" t="s">
        <v>115</v>
      </c>
      <c r="E75" t="s">
        <v>116</v>
      </c>
      <c r="F75" s="11">
        <v>45.9</v>
      </c>
      <c r="G75" s="47">
        <v>45.9</v>
      </c>
      <c r="H75" s="52">
        <f t="shared" si="12"/>
        <v>1</v>
      </c>
      <c r="I75" s="36">
        <v>45.9</v>
      </c>
      <c r="J75" s="32">
        <v>43.9</v>
      </c>
      <c r="K75" s="32">
        <v>43.9</v>
      </c>
      <c r="L75" s="32">
        <v>43.9</v>
      </c>
      <c r="M75" s="32">
        <v>43.9</v>
      </c>
      <c r="N75" s="32">
        <v>43.9</v>
      </c>
      <c r="O75" s="42">
        <v>54.9</v>
      </c>
      <c r="P75" s="65">
        <f t="shared" si="14"/>
        <v>1.0766817022945674</v>
      </c>
      <c r="Q75" s="59">
        <v>53.9</v>
      </c>
      <c r="R75" s="60">
        <f t="shared" si="13"/>
        <v>1.0570700137281819</v>
      </c>
      <c r="S75" s="58">
        <v>50.99</v>
      </c>
    </row>
    <row r="76" spans="1:23" x14ac:dyDescent="0.3">
      <c r="A76" s="86" t="s">
        <v>81</v>
      </c>
      <c r="B76" s="86" t="s">
        <v>105</v>
      </c>
      <c r="C76" s="86" t="s">
        <v>8</v>
      </c>
      <c r="D76" s="28" t="s">
        <v>117</v>
      </c>
      <c r="E76" t="s">
        <v>118</v>
      </c>
      <c r="F76" s="11">
        <v>43.9</v>
      </c>
      <c r="G76" s="47">
        <v>45.9</v>
      </c>
      <c r="H76" s="52">
        <f t="shared" si="12"/>
        <v>1.06993006993007</v>
      </c>
      <c r="I76" s="36">
        <v>42.9</v>
      </c>
      <c r="J76" s="32">
        <v>39.9</v>
      </c>
      <c r="K76" s="32">
        <v>40.9</v>
      </c>
      <c r="L76" s="32">
        <v>41.9</v>
      </c>
      <c r="M76" s="32">
        <v>42.9</v>
      </c>
      <c r="N76" s="32">
        <v>43.9</v>
      </c>
      <c r="O76" s="42">
        <v>54.9</v>
      </c>
      <c r="P76" s="65">
        <f t="shared" si="14"/>
        <v>1.1683336880187274</v>
      </c>
      <c r="Q76" s="59">
        <v>51.9</v>
      </c>
      <c r="R76" s="60">
        <f t="shared" si="13"/>
        <v>1.1044903170887421</v>
      </c>
      <c r="S76" s="58">
        <v>46.99</v>
      </c>
    </row>
    <row r="77" spans="1:23" x14ac:dyDescent="0.3">
      <c r="A77" s="86" t="s">
        <v>81</v>
      </c>
      <c r="B77" s="86" t="s">
        <v>105</v>
      </c>
      <c r="C77" s="86" t="s">
        <v>8</v>
      </c>
      <c r="D77" s="28" t="s">
        <v>119</v>
      </c>
      <c r="E77" t="s">
        <v>120</v>
      </c>
      <c r="F77" s="11">
        <v>42.9</v>
      </c>
      <c r="G77" s="47">
        <v>45.9</v>
      </c>
      <c r="H77" s="52">
        <f t="shared" si="12"/>
        <v>1.06993006993007</v>
      </c>
      <c r="I77" s="36">
        <v>42.9</v>
      </c>
      <c r="J77" s="32">
        <v>37.9</v>
      </c>
      <c r="K77" s="32">
        <v>38.9</v>
      </c>
      <c r="L77" s="32">
        <v>39.9</v>
      </c>
      <c r="M77" s="32">
        <v>40.9</v>
      </c>
      <c r="N77" s="32">
        <v>41.9</v>
      </c>
      <c r="O77" s="42">
        <v>54.9</v>
      </c>
      <c r="P77" s="65">
        <f t="shared" si="14"/>
        <v>1.2202711713714158</v>
      </c>
      <c r="Q77" s="59">
        <v>50.9</v>
      </c>
      <c r="R77" s="60">
        <f t="shared" si="13"/>
        <v>1.1313625250055568</v>
      </c>
      <c r="S77" s="58">
        <v>44.99</v>
      </c>
    </row>
    <row r="78" spans="1:23" x14ac:dyDescent="0.3">
      <c r="A78" s="86" t="s">
        <v>121</v>
      </c>
      <c r="B78" s="86" t="s">
        <v>121</v>
      </c>
      <c r="C78" s="2" t="s">
        <v>3</v>
      </c>
      <c r="D78" s="28" t="s">
        <v>122</v>
      </c>
      <c r="E78" t="s">
        <v>123</v>
      </c>
      <c r="F78" s="11">
        <v>32.9</v>
      </c>
      <c r="G78" s="47">
        <v>34.9</v>
      </c>
      <c r="H78" s="52">
        <f t="shared" si="12"/>
        <v>1.0607902735562309</v>
      </c>
      <c r="I78" s="36">
        <v>32.9</v>
      </c>
      <c r="J78" s="32">
        <v>30.9</v>
      </c>
      <c r="K78" s="32">
        <v>30.9</v>
      </c>
      <c r="L78" s="32">
        <v>31.9</v>
      </c>
      <c r="M78" s="32">
        <v>31.9</v>
      </c>
      <c r="N78" s="32">
        <v>32.9</v>
      </c>
      <c r="O78" s="42">
        <v>39.9</v>
      </c>
      <c r="P78" s="65"/>
      <c r="Q78" s="59">
        <v>38.9</v>
      </c>
      <c r="R78" s="60" t="e">
        <f t="shared" si="13"/>
        <v>#VALUE!</v>
      </c>
      <c r="S78" s="58" t="s">
        <v>481</v>
      </c>
    </row>
    <row r="79" spans="1:23" x14ac:dyDescent="0.3">
      <c r="A79" s="86" t="s">
        <v>121</v>
      </c>
      <c r="B79" s="86" t="s">
        <v>121</v>
      </c>
      <c r="C79" s="86" t="s">
        <v>8</v>
      </c>
      <c r="D79" s="28" t="s">
        <v>124</v>
      </c>
      <c r="E79" t="s">
        <v>125</v>
      </c>
      <c r="F79" s="11">
        <v>23.9</v>
      </c>
      <c r="G79" s="47">
        <v>20.9</v>
      </c>
      <c r="H79" s="52">
        <f t="shared" si="12"/>
        <v>1.050251256281407</v>
      </c>
      <c r="I79" s="36">
        <v>19.899999999999999</v>
      </c>
      <c r="J79" s="32">
        <v>18.899999999999999</v>
      </c>
      <c r="K79" s="32">
        <v>18.899999999999999</v>
      </c>
      <c r="L79" s="32">
        <v>18.899999999999999</v>
      </c>
      <c r="M79" s="32">
        <v>18.899999999999999</v>
      </c>
      <c r="N79" s="32">
        <v>18.899999999999999</v>
      </c>
      <c r="O79" s="42">
        <v>23.9</v>
      </c>
      <c r="P79" s="65"/>
      <c r="Q79" s="59">
        <v>22.9</v>
      </c>
      <c r="R79" s="60" t="e">
        <f t="shared" si="13"/>
        <v>#VALUE!</v>
      </c>
      <c r="S79" s="58" t="s">
        <v>481</v>
      </c>
      <c r="W79" s="70"/>
    </row>
    <row r="80" spans="1:23" x14ac:dyDescent="0.3">
      <c r="A80" s="86" t="s">
        <v>121</v>
      </c>
      <c r="B80" s="86" t="s">
        <v>121</v>
      </c>
      <c r="C80" s="86" t="s">
        <v>8</v>
      </c>
      <c r="D80" s="28" t="s">
        <v>126</v>
      </c>
      <c r="E80" t="s">
        <v>127</v>
      </c>
      <c r="F80" s="11">
        <v>6.9</v>
      </c>
      <c r="G80" s="47">
        <v>6.9</v>
      </c>
      <c r="H80" s="52">
        <f t="shared" si="12"/>
        <v>1</v>
      </c>
      <c r="I80" s="36">
        <v>6.9</v>
      </c>
      <c r="J80" s="13"/>
      <c r="K80" s="13"/>
      <c r="L80" s="13"/>
      <c r="M80" s="13"/>
      <c r="N80" s="13"/>
      <c r="O80" s="42">
        <v>7.9</v>
      </c>
      <c r="P80" s="65"/>
      <c r="Q80" s="59">
        <v>7.9</v>
      </c>
      <c r="R80" s="60" t="e">
        <f t="shared" si="13"/>
        <v>#VALUE!</v>
      </c>
      <c r="S80" s="58" t="s">
        <v>481</v>
      </c>
      <c r="W80" s="70"/>
    </row>
    <row r="81" spans="1:19" x14ac:dyDescent="0.3">
      <c r="A81" s="86" t="s">
        <v>121</v>
      </c>
      <c r="B81" s="86" t="s">
        <v>121</v>
      </c>
      <c r="C81" s="86" t="s">
        <v>8</v>
      </c>
      <c r="D81" s="28" t="s">
        <v>128</v>
      </c>
      <c r="E81" t="s">
        <v>129</v>
      </c>
      <c r="F81" s="11">
        <v>11.9</v>
      </c>
      <c r="G81" s="47">
        <v>12.9</v>
      </c>
      <c r="H81" s="52">
        <f t="shared" si="12"/>
        <v>1.0840336134453781</v>
      </c>
      <c r="I81" s="36">
        <v>11.9</v>
      </c>
      <c r="J81" s="32"/>
      <c r="K81" s="32"/>
      <c r="L81" s="32"/>
      <c r="M81" s="32"/>
      <c r="N81" s="32"/>
      <c r="O81" s="42">
        <v>13.9</v>
      </c>
      <c r="P81" s="65"/>
      <c r="Q81" s="59">
        <v>12.9</v>
      </c>
      <c r="R81" s="60" t="e">
        <f t="shared" si="13"/>
        <v>#VALUE!</v>
      </c>
      <c r="S81" s="58" t="s">
        <v>481</v>
      </c>
    </row>
    <row r="82" spans="1:19" x14ac:dyDescent="0.3">
      <c r="A82" s="86" t="s">
        <v>130</v>
      </c>
      <c r="B82" s="86" t="s">
        <v>131</v>
      </c>
      <c r="C82" s="86" t="s">
        <v>8</v>
      </c>
      <c r="D82" s="28" t="s">
        <v>132</v>
      </c>
      <c r="E82" t="s">
        <v>133</v>
      </c>
      <c r="F82" s="11">
        <f t="shared" ref="F82:F84" si="15">N82*1.05</f>
        <v>21.945</v>
      </c>
      <c r="G82" s="47">
        <v>25.9</v>
      </c>
      <c r="H82" s="52">
        <f t="shared" si="12"/>
        <v>1</v>
      </c>
      <c r="I82" s="36">
        <v>25.9</v>
      </c>
      <c r="J82" s="12">
        <v>20.9</v>
      </c>
      <c r="K82" s="12">
        <v>20.9</v>
      </c>
      <c r="L82" s="12">
        <v>20.9</v>
      </c>
      <c r="M82" s="12">
        <v>20.9</v>
      </c>
      <c r="N82" s="12">
        <v>20.9</v>
      </c>
      <c r="O82" s="42">
        <v>30.9</v>
      </c>
      <c r="P82" s="65"/>
      <c r="Q82" s="59">
        <v>29.9</v>
      </c>
      <c r="R82" s="60" t="e">
        <f t="shared" si="13"/>
        <v>#VALUE!</v>
      </c>
      <c r="S82" s="58" t="s">
        <v>481</v>
      </c>
    </row>
    <row r="83" spans="1:19" x14ac:dyDescent="0.3">
      <c r="A83" s="86" t="s">
        <v>130</v>
      </c>
      <c r="B83" s="86" t="s">
        <v>131</v>
      </c>
      <c r="C83" s="86" t="s">
        <v>8</v>
      </c>
      <c r="D83" s="28" t="s">
        <v>134</v>
      </c>
      <c r="E83" t="s">
        <v>135</v>
      </c>
      <c r="F83" s="11">
        <f t="shared" si="15"/>
        <v>21.945</v>
      </c>
      <c r="G83" s="47">
        <v>25.9</v>
      </c>
      <c r="H83" s="52">
        <f t="shared" si="12"/>
        <v>1</v>
      </c>
      <c r="I83" s="36">
        <v>25.9</v>
      </c>
      <c r="J83" s="12">
        <v>20.9</v>
      </c>
      <c r="K83" s="12">
        <v>20.9</v>
      </c>
      <c r="L83" s="12">
        <v>20.9</v>
      </c>
      <c r="M83" s="12">
        <v>20.9</v>
      </c>
      <c r="N83" s="12">
        <v>20.9</v>
      </c>
      <c r="O83" s="42">
        <v>30.9</v>
      </c>
      <c r="P83" s="65"/>
      <c r="Q83" s="59">
        <v>31.9</v>
      </c>
      <c r="R83" s="60" t="e">
        <f t="shared" si="13"/>
        <v>#VALUE!</v>
      </c>
      <c r="S83" s="58" t="s">
        <v>481</v>
      </c>
    </row>
    <row r="84" spans="1:19" x14ac:dyDescent="0.3">
      <c r="A84" s="86" t="s">
        <v>130</v>
      </c>
      <c r="B84" s="86" t="s">
        <v>131</v>
      </c>
      <c r="C84" s="86" t="s">
        <v>8</v>
      </c>
      <c r="D84" s="28" t="s">
        <v>136</v>
      </c>
      <c r="E84" t="s">
        <v>137</v>
      </c>
      <c r="F84" s="11">
        <f t="shared" si="15"/>
        <v>21.945</v>
      </c>
      <c r="G84" s="47">
        <v>25.9</v>
      </c>
      <c r="H84" s="52">
        <f t="shared" si="12"/>
        <v>1</v>
      </c>
      <c r="I84" s="36">
        <v>25.9</v>
      </c>
      <c r="J84" s="12">
        <v>20.9</v>
      </c>
      <c r="K84" s="12">
        <v>20.9</v>
      </c>
      <c r="L84" s="12">
        <v>20.9</v>
      </c>
      <c r="M84" s="12">
        <v>20.9</v>
      </c>
      <c r="N84" s="12">
        <v>20.9</v>
      </c>
      <c r="O84" s="42">
        <v>30.9</v>
      </c>
      <c r="P84" s="65"/>
      <c r="Q84" s="59">
        <v>29.9</v>
      </c>
      <c r="R84" s="60" t="e">
        <f t="shared" si="13"/>
        <v>#VALUE!</v>
      </c>
      <c r="S84" s="58" t="s">
        <v>481</v>
      </c>
    </row>
    <row r="85" spans="1:19" x14ac:dyDescent="0.3">
      <c r="A85" s="86"/>
      <c r="B85" s="2"/>
      <c r="C85" s="2"/>
      <c r="D85" s="28" t="s">
        <v>475</v>
      </c>
      <c r="F85" s="11"/>
      <c r="G85" s="47">
        <v>28.9</v>
      </c>
      <c r="H85" s="52">
        <f t="shared" si="12"/>
        <v>1</v>
      </c>
      <c r="I85" s="36">
        <v>28.9</v>
      </c>
      <c r="J85" s="12">
        <v>25.9</v>
      </c>
      <c r="K85" s="12">
        <v>25.9</v>
      </c>
      <c r="L85" s="12">
        <v>25.9</v>
      </c>
      <c r="M85" s="12">
        <v>25.9</v>
      </c>
      <c r="N85" s="12">
        <v>25.9</v>
      </c>
      <c r="O85" s="42">
        <v>34.9</v>
      </c>
      <c r="P85" s="65"/>
      <c r="Q85" s="59">
        <v>32.9</v>
      </c>
      <c r="R85" s="60" t="e">
        <f t="shared" si="13"/>
        <v>#DIV/0!</v>
      </c>
      <c r="S85" s="58"/>
    </row>
    <row r="86" spans="1:19" x14ac:dyDescent="0.3">
      <c r="A86" s="86" t="s">
        <v>130</v>
      </c>
      <c r="B86" s="86" t="s">
        <v>138</v>
      </c>
      <c r="C86" s="86" t="s">
        <v>8</v>
      </c>
      <c r="D86" s="28" t="s">
        <v>139</v>
      </c>
      <c r="E86" t="s">
        <v>140</v>
      </c>
      <c r="F86" s="11">
        <v>29.9</v>
      </c>
      <c r="G86" s="47">
        <v>28.9</v>
      </c>
      <c r="H86" s="52">
        <f t="shared" si="12"/>
        <v>1</v>
      </c>
      <c r="I86" s="36">
        <v>28.9</v>
      </c>
      <c r="J86" s="12">
        <v>25.9</v>
      </c>
      <c r="K86" s="12">
        <v>25.9</v>
      </c>
      <c r="L86" s="12">
        <v>26.9</v>
      </c>
      <c r="M86" s="12">
        <v>26.9</v>
      </c>
      <c r="N86" s="12">
        <v>27.9</v>
      </c>
      <c r="O86" s="42">
        <v>34.9</v>
      </c>
      <c r="P86" s="65"/>
      <c r="Q86" s="59">
        <v>32.9</v>
      </c>
      <c r="R86" s="60" t="e">
        <f t="shared" si="13"/>
        <v>#VALUE!</v>
      </c>
      <c r="S86" s="58" t="s">
        <v>481</v>
      </c>
    </row>
    <row r="87" spans="1:19" x14ac:dyDescent="0.3">
      <c r="A87" s="86" t="s">
        <v>130</v>
      </c>
      <c r="B87" s="86" t="s">
        <v>138</v>
      </c>
      <c r="C87" s="86" t="s">
        <v>8</v>
      </c>
      <c r="D87" s="28" t="s">
        <v>141</v>
      </c>
      <c r="E87" t="s">
        <v>142</v>
      </c>
      <c r="F87" s="11">
        <v>27.9</v>
      </c>
      <c r="G87" s="47">
        <v>27.9</v>
      </c>
      <c r="H87" s="52">
        <f t="shared" si="12"/>
        <v>1</v>
      </c>
      <c r="I87" s="36">
        <v>27.9</v>
      </c>
      <c r="J87" s="12">
        <v>24.9</v>
      </c>
      <c r="K87" s="12">
        <v>24.9</v>
      </c>
      <c r="L87" s="12">
        <v>25.9</v>
      </c>
      <c r="M87" s="12">
        <v>25.9</v>
      </c>
      <c r="N87" s="12">
        <v>26.9</v>
      </c>
      <c r="O87" s="42">
        <v>32.9</v>
      </c>
      <c r="P87" s="65"/>
      <c r="Q87" s="59">
        <v>31.9</v>
      </c>
      <c r="R87" s="60" t="e">
        <f t="shared" si="13"/>
        <v>#VALUE!</v>
      </c>
      <c r="S87" s="58" t="s">
        <v>481</v>
      </c>
    </row>
    <row r="88" spans="1:19" x14ac:dyDescent="0.3">
      <c r="A88" s="86" t="s">
        <v>130</v>
      </c>
      <c r="B88" s="86" t="s">
        <v>143</v>
      </c>
      <c r="C88" s="86" t="s">
        <v>8</v>
      </c>
      <c r="D88" s="28" t="s">
        <v>144</v>
      </c>
      <c r="E88" t="s">
        <v>145</v>
      </c>
      <c r="F88" s="11">
        <v>21.9</v>
      </c>
      <c r="G88" s="47">
        <v>20.9</v>
      </c>
      <c r="H88" s="52">
        <f t="shared" si="12"/>
        <v>1.050251256281407</v>
      </c>
      <c r="I88" s="36">
        <v>19.899999999999999</v>
      </c>
      <c r="J88" s="34">
        <v>18.899999999999999</v>
      </c>
      <c r="K88" s="34">
        <v>18.899999999999999</v>
      </c>
      <c r="L88" s="34">
        <v>19.899999999999999</v>
      </c>
      <c r="M88" s="34">
        <v>19.899999999999999</v>
      </c>
      <c r="N88" s="34">
        <v>20.9</v>
      </c>
      <c r="O88" s="42">
        <v>24.9</v>
      </c>
      <c r="P88" s="65"/>
      <c r="Q88" s="59">
        <v>22.9</v>
      </c>
      <c r="R88" s="60" t="e">
        <f t="shared" si="13"/>
        <v>#VALUE!</v>
      </c>
      <c r="S88" s="58" t="s">
        <v>481</v>
      </c>
    </row>
    <row r="89" spans="1:19" x14ac:dyDescent="0.3">
      <c r="A89" s="86" t="s">
        <v>130</v>
      </c>
      <c r="B89" s="86" t="s">
        <v>143</v>
      </c>
      <c r="C89" s="86" t="s">
        <v>8</v>
      </c>
      <c r="D89" s="28" t="s">
        <v>146</v>
      </c>
      <c r="E89" t="s">
        <v>147</v>
      </c>
      <c r="F89" s="11">
        <v>19.899999999999999</v>
      </c>
      <c r="G89" s="47">
        <v>17.899999999999999</v>
      </c>
      <c r="H89" s="52">
        <f t="shared" si="12"/>
        <v>1</v>
      </c>
      <c r="I89" s="36">
        <v>17.899999999999999</v>
      </c>
      <c r="J89" s="34"/>
      <c r="K89" s="34"/>
      <c r="L89" s="34"/>
      <c r="M89" s="34"/>
      <c r="N89" s="34"/>
      <c r="O89" s="42">
        <v>21.9</v>
      </c>
      <c r="P89" s="65"/>
      <c r="Q89" s="59">
        <v>23.4</v>
      </c>
      <c r="R89" s="60" t="e">
        <f t="shared" si="13"/>
        <v>#VALUE!</v>
      </c>
      <c r="S89" s="58" t="s">
        <v>481</v>
      </c>
    </row>
    <row r="90" spans="1:19" x14ac:dyDescent="0.3">
      <c r="A90" s="86" t="s">
        <v>130</v>
      </c>
      <c r="B90" s="2" t="s">
        <v>148</v>
      </c>
      <c r="C90" s="2" t="s">
        <v>8</v>
      </c>
      <c r="D90" s="28" t="s">
        <v>149</v>
      </c>
      <c r="E90" t="s">
        <v>150</v>
      </c>
      <c r="F90" s="11">
        <v>21.9</v>
      </c>
      <c r="G90" s="47">
        <v>20.9</v>
      </c>
      <c r="H90" s="52">
        <f t="shared" si="12"/>
        <v>1.1058201058201058</v>
      </c>
      <c r="I90" s="36">
        <v>18.899999999999999</v>
      </c>
      <c r="J90" s="34">
        <v>16.899999999999999</v>
      </c>
      <c r="K90" s="34">
        <v>16.899999999999999</v>
      </c>
      <c r="L90" s="34">
        <v>17.899999999999999</v>
      </c>
      <c r="M90" s="34">
        <v>17.899999999999999</v>
      </c>
      <c r="N90" s="34">
        <v>18.899999999999999</v>
      </c>
      <c r="O90" s="42">
        <v>23.9</v>
      </c>
      <c r="P90" s="65">
        <f t="shared" si="14"/>
        <v>1.4067098293113596</v>
      </c>
      <c r="Q90" s="59">
        <v>25.9</v>
      </c>
      <c r="R90" s="60">
        <f t="shared" si="13"/>
        <v>1.5244261330194233</v>
      </c>
      <c r="S90" s="58">
        <v>16.989999999999998</v>
      </c>
    </row>
    <row r="91" spans="1:19" x14ac:dyDescent="0.3">
      <c r="A91" s="86"/>
      <c r="B91" s="2"/>
      <c r="C91" s="2"/>
      <c r="D91" s="28" t="s">
        <v>410</v>
      </c>
      <c r="F91" s="11">
        <v>21.9</v>
      </c>
      <c r="G91" s="47">
        <v>20.9</v>
      </c>
      <c r="H91" s="52">
        <f t="shared" si="12"/>
        <v>1</v>
      </c>
      <c r="I91" s="36">
        <v>20.9</v>
      </c>
      <c r="J91" s="34">
        <v>17.899999999999999</v>
      </c>
      <c r="K91" s="34">
        <v>17.899999999999999</v>
      </c>
      <c r="L91" s="34">
        <v>18.899999999999999</v>
      </c>
      <c r="M91" s="34">
        <v>18.899999999999999</v>
      </c>
      <c r="N91" s="34">
        <v>19.899999999999999</v>
      </c>
      <c r="O91" s="42">
        <v>24.9</v>
      </c>
      <c r="P91" s="65"/>
      <c r="Q91" s="59">
        <v>25.9</v>
      </c>
      <c r="R91" s="60" t="e">
        <f t="shared" si="13"/>
        <v>#DIV/0!</v>
      </c>
      <c r="S91" s="58"/>
    </row>
    <row r="92" spans="1:19" x14ac:dyDescent="0.3">
      <c r="A92" s="86" t="s">
        <v>130</v>
      </c>
      <c r="B92" s="2" t="s">
        <v>151</v>
      </c>
      <c r="C92" s="2" t="s">
        <v>8</v>
      </c>
      <c r="D92" s="28" t="s">
        <v>152</v>
      </c>
      <c r="E92" s="28" t="s">
        <v>152</v>
      </c>
      <c r="F92" s="28" t="s">
        <v>152</v>
      </c>
      <c r="G92" s="47">
        <v>11.9</v>
      </c>
      <c r="H92" s="52">
        <f t="shared" si="12"/>
        <v>1</v>
      </c>
      <c r="I92" s="36">
        <v>11.9</v>
      </c>
      <c r="J92" s="28" t="s">
        <v>152</v>
      </c>
      <c r="K92" s="28" t="s">
        <v>152</v>
      </c>
      <c r="L92" s="28" t="s">
        <v>152</v>
      </c>
      <c r="M92" s="28" t="s">
        <v>152</v>
      </c>
      <c r="N92" s="34">
        <v>10.9</v>
      </c>
      <c r="O92" s="42">
        <v>13.9</v>
      </c>
      <c r="P92" s="65">
        <f t="shared" si="14"/>
        <v>1.3913913913913913</v>
      </c>
      <c r="Q92" s="59">
        <v>15.9</v>
      </c>
      <c r="R92" s="60">
        <f t="shared" si="13"/>
        <v>1.5915915915915917</v>
      </c>
      <c r="S92" s="58">
        <v>9.99</v>
      </c>
    </row>
    <row r="93" spans="1:19" x14ac:dyDescent="0.3">
      <c r="A93" s="86" t="s">
        <v>130</v>
      </c>
      <c r="B93" s="86" t="s">
        <v>153</v>
      </c>
      <c r="C93" s="86" t="s">
        <v>8</v>
      </c>
      <c r="D93" s="28" t="s">
        <v>154</v>
      </c>
      <c r="E93" t="s">
        <v>155</v>
      </c>
      <c r="F93" s="11">
        <v>7.9</v>
      </c>
      <c r="G93" s="47">
        <v>6.9</v>
      </c>
      <c r="H93" s="52">
        <f t="shared" si="12"/>
        <v>1.0615384615384615</v>
      </c>
      <c r="I93" s="36">
        <v>6.5</v>
      </c>
      <c r="J93" s="34"/>
      <c r="K93" s="34"/>
      <c r="L93" s="34"/>
      <c r="M93" s="34"/>
      <c r="N93" s="34"/>
      <c r="O93" s="42">
        <v>7.9</v>
      </c>
      <c r="P93" s="65"/>
      <c r="Q93" s="59">
        <v>7.9</v>
      </c>
      <c r="R93" s="60" t="e">
        <f t="shared" si="13"/>
        <v>#VALUE!</v>
      </c>
      <c r="S93" s="58" t="s">
        <v>481</v>
      </c>
    </row>
    <row r="94" spans="1:19" x14ac:dyDescent="0.3">
      <c r="A94" s="86" t="s">
        <v>130</v>
      </c>
      <c r="B94" s="86" t="s">
        <v>153</v>
      </c>
      <c r="C94" s="86" t="s">
        <v>8</v>
      </c>
      <c r="D94" s="28" t="s">
        <v>156</v>
      </c>
      <c r="E94" t="s">
        <v>157</v>
      </c>
      <c r="F94" s="11">
        <v>6.5</v>
      </c>
      <c r="G94" s="47">
        <v>6.9</v>
      </c>
      <c r="H94" s="52">
        <f t="shared" si="12"/>
        <v>1.1694915254237288</v>
      </c>
      <c r="I94" s="36">
        <v>5.9</v>
      </c>
      <c r="J94" s="34"/>
      <c r="K94" s="34"/>
      <c r="L94" s="34"/>
      <c r="M94" s="34"/>
      <c r="N94" s="34"/>
      <c r="O94" s="42">
        <v>7.9</v>
      </c>
      <c r="P94" s="65"/>
      <c r="Q94" s="59">
        <v>7.9</v>
      </c>
      <c r="R94" s="60" t="e">
        <f t="shared" si="13"/>
        <v>#VALUE!</v>
      </c>
      <c r="S94" s="58" t="s">
        <v>481</v>
      </c>
    </row>
    <row r="95" spans="1:19" x14ac:dyDescent="0.3">
      <c r="A95" s="86" t="s">
        <v>130</v>
      </c>
      <c r="B95" s="86" t="s">
        <v>153</v>
      </c>
      <c r="C95" s="86" t="s">
        <v>8</v>
      </c>
      <c r="D95" s="28" t="s">
        <v>158</v>
      </c>
      <c r="E95" t="s">
        <v>159</v>
      </c>
      <c r="F95" s="11">
        <v>5</v>
      </c>
      <c r="G95" s="47">
        <v>5</v>
      </c>
      <c r="H95" s="52">
        <f t="shared" si="12"/>
        <v>1</v>
      </c>
      <c r="I95" s="36">
        <v>5</v>
      </c>
      <c r="J95" s="34"/>
      <c r="K95" s="34"/>
      <c r="L95" s="34"/>
      <c r="M95" s="34"/>
      <c r="N95" s="34"/>
      <c r="O95" s="42">
        <v>5.9</v>
      </c>
      <c r="P95" s="65"/>
      <c r="Q95" s="59">
        <v>5.9</v>
      </c>
      <c r="R95" s="60" t="e">
        <f t="shared" si="13"/>
        <v>#VALUE!</v>
      </c>
      <c r="S95" s="58" t="s">
        <v>481</v>
      </c>
    </row>
    <row r="96" spans="1:19" x14ac:dyDescent="0.3">
      <c r="A96" s="86" t="s">
        <v>130</v>
      </c>
      <c r="B96" s="86" t="s">
        <v>153</v>
      </c>
      <c r="C96" s="86" t="s">
        <v>8</v>
      </c>
      <c r="D96" s="28" t="s">
        <v>160</v>
      </c>
      <c r="E96" t="s">
        <v>161</v>
      </c>
      <c r="F96" s="11">
        <v>5</v>
      </c>
      <c r="G96" s="47">
        <v>5</v>
      </c>
      <c r="H96" s="52">
        <f t="shared" si="12"/>
        <v>1</v>
      </c>
      <c r="I96" s="36">
        <v>5</v>
      </c>
      <c r="J96" s="34"/>
      <c r="K96" s="34"/>
      <c r="L96" s="34"/>
      <c r="M96" s="34"/>
      <c r="N96" s="34"/>
      <c r="O96" s="42">
        <v>5.9</v>
      </c>
      <c r="P96" s="65"/>
      <c r="Q96" s="59">
        <v>5.9</v>
      </c>
      <c r="R96" s="60" t="e">
        <f t="shared" si="13"/>
        <v>#VALUE!</v>
      </c>
      <c r="S96" s="58" t="s">
        <v>481</v>
      </c>
    </row>
    <row r="97" spans="1:19" x14ac:dyDescent="0.3">
      <c r="A97" s="86" t="s">
        <v>130</v>
      </c>
      <c r="B97" s="86" t="s">
        <v>153</v>
      </c>
      <c r="C97" s="86" t="s">
        <v>8</v>
      </c>
      <c r="D97" s="28" t="s">
        <v>162</v>
      </c>
      <c r="E97" t="s">
        <v>163</v>
      </c>
      <c r="F97" s="11">
        <v>5</v>
      </c>
      <c r="G97" s="47">
        <v>5</v>
      </c>
      <c r="H97" s="52">
        <f t="shared" si="12"/>
        <v>1</v>
      </c>
      <c r="I97" s="36">
        <v>5</v>
      </c>
      <c r="J97" s="34"/>
      <c r="K97" s="34"/>
      <c r="L97" s="34"/>
      <c r="M97" s="34"/>
      <c r="N97" s="34"/>
      <c r="O97" s="42">
        <v>5.9</v>
      </c>
      <c r="P97" s="65"/>
      <c r="Q97" s="59">
        <v>5.9</v>
      </c>
      <c r="R97" s="60" t="e">
        <f t="shared" si="13"/>
        <v>#VALUE!</v>
      </c>
      <c r="S97" s="58" t="s">
        <v>481</v>
      </c>
    </row>
    <row r="98" spans="1:19" x14ac:dyDescent="0.3">
      <c r="A98" s="86" t="s">
        <v>130</v>
      </c>
      <c r="B98" s="86" t="s">
        <v>153</v>
      </c>
      <c r="C98" s="86" t="s">
        <v>8</v>
      </c>
      <c r="D98" s="28" t="s">
        <v>164</v>
      </c>
      <c r="E98" t="s">
        <v>165</v>
      </c>
      <c r="F98" s="11">
        <v>7.9</v>
      </c>
      <c r="G98" s="47">
        <v>7.9</v>
      </c>
      <c r="H98" s="52">
        <f t="shared" si="12"/>
        <v>1</v>
      </c>
      <c r="I98" s="36">
        <v>7.9</v>
      </c>
      <c r="J98" s="34"/>
      <c r="K98" s="34"/>
      <c r="L98" s="34"/>
      <c r="M98" s="34"/>
      <c r="N98" s="34"/>
      <c r="O98" s="42">
        <v>9.9</v>
      </c>
      <c r="P98" s="65"/>
      <c r="Q98" s="59">
        <v>9.9</v>
      </c>
      <c r="R98" s="60" t="e">
        <f t="shared" si="13"/>
        <v>#VALUE!</v>
      </c>
      <c r="S98" s="58" t="s">
        <v>481</v>
      </c>
    </row>
    <row r="99" spans="1:19" x14ac:dyDescent="0.3">
      <c r="A99" s="86" t="s">
        <v>130</v>
      </c>
      <c r="B99" s="86" t="s">
        <v>166</v>
      </c>
      <c r="C99" s="86" t="s">
        <v>8</v>
      </c>
      <c r="D99" s="28" t="s">
        <v>167</v>
      </c>
      <c r="E99" t="s">
        <v>168</v>
      </c>
      <c r="F99" s="11">
        <v>6.9</v>
      </c>
      <c r="G99" s="47">
        <v>6.9</v>
      </c>
      <c r="H99" s="52">
        <f t="shared" si="12"/>
        <v>1</v>
      </c>
      <c r="I99" s="36">
        <v>6.9</v>
      </c>
      <c r="J99" s="34"/>
      <c r="K99" s="34"/>
      <c r="L99" s="34"/>
      <c r="M99" s="34"/>
      <c r="N99" s="34"/>
      <c r="O99" s="42">
        <v>8.9</v>
      </c>
      <c r="P99" s="65"/>
      <c r="Q99" s="59">
        <v>8.9</v>
      </c>
      <c r="R99" s="60" t="e">
        <f t="shared" si="13"/>
        <v>#VALUE!</v>
      </c>
      <c r="S99" s="58" t="s">
        <v>481</v>
      </c>
    </row>
    <row r="100" spans="1:19" x14ac:dyDescent="0.3">
      <c r="A100" s="86" t="s">
        <v>130</v>
      </c>
      <c r="B100" s="86" t="s">
        <v>166</v>
      </c>
      <c r="C100" s="86" t="s">
        <v>8</v>
      </c>
      <c r="D100" s="28" t="s">
        <v>169</v>
      </c>
      <c r="E100" t="s">
        <v>170</v>
      </c>
      <c r="F100" s="11">
        <v>6.9</v>
      </c>
      <c r="G100" s="47">
        <v>6.9</v>
      </c>
      <c r="H100" s="52">
        <f t="shared" si="12"/>
        <v>1</v>
      </c>
      <c r="I100" s="36">
        <v>6.9</v>
      </c>
      <c r="J100" s="34"/>
      <c r="K100" s="34"/>
      <c r="L100" s="34"/>
      <c r="M100" s="34"/>
      <c r="N100" s="34"/>
      <c r="O100" s="42">
        <v>8.9</v>
      </c>
      <c r="P100" s="65"/>
      <c r="Q100" s="59">
        <v>8.9</v>
      </c>
      <c r="R100" s="60" t="e">
        <f t="shared" si="13"/>
        <v>#VALUE!</v>
      </c>
      <c r="S100" s="58" t="s">
        <v>481</v>
      </c>
    </row>
    <row r="101" spans="1:19" x14ac:dyDescent="0.3">
      <c r="A101" s="86" t="s">
        <v>130</v>
      </c>
      <c r="B101" s="86" t="s">
        <v>166</v>
      </c>
      <c r="C101" s="86" t="s">
        <v>8</v>
      </c>
      <c r="D101" s="28" t="s">
        <v>171</v>
      </c>
      <c r="E101" t="s">
        <v>172</v>
      </c>
      <c r="F101" s="11">
        <v>7.9</v>
      </c>
      <c r="G101" s="47">
        <v>6.9</v>
      </c>
      <c r="H101" s="52">
        <f t="shared" si="12"/>
        <v>1</v>
      </c>
      <c r="I101" s="36">
        <v>6.9</v>
      </c>
      <c r="J101" s="34"/>
      <c r="K101" s="34"/>
      <c r="L101" s="34"/>
      <c r="M101" s="34"/>
      <c r="N101" s="34"/>
      <c r="O101" s="42">
        <v>8.9</v>
      </c>
      <c r="P101" s="65"/>
      <c r="Q101" s="59">
        <v>8.9</v>
      </c>
      <c r="R101" s="60" t="e">
        <f t="shared" si="13"/>
        <v>#VALUE!</v>
      </c>
      <c r="S101" s="58" t="s">
        <v>481</v>
      </c>
    </row>
    <row r="102" spans="1:19" x14ac:dyDescent="0.3">
      <c r="A102" s="86" t="s">
        <v>130</v>
      </c>
      <c r="B102" s="86" t="s">
        <v>173</v>
      </c>
      <c r="C102" s="86" t="s">
        <v>8</v>
      </c>
      <c r="D102" s="28" t="s">
        <v>174</v>
      </c>
      <c r="E102" t="s">
        <v>175</v>
      </c>
      <c r="F102" s="11">
        <v>19.899999999999999</v>
      </c>
      <c r="G102" s="47">
        <v>18.899999999999999</v>
      </c>
      <c r="H102" s="52">
        <f t="shared" si="12"/>
        <v>1</v>
      </c>
      <c r="I102" s="36">
        <v>18.899999999999999</v>
      </c>
      <c r="J102" s="34"/>
      <c r="K102" s="34"/>
      <c r="L102" s="34"/>
      <c r="M102" s="34"/>
      <c r="N102" s="34"/>
      <c r="O102" s="42">
        <v>22.9</v>
      </c>
      <c r="P102" s="65">
        <f t="shared" si="14"/>
        <v>1.2058978409689309</v>
      </c>
      <c r="Q102" s="59">
        <v>21.9</v>
      </c>
      <c r="R102" s="60">
        <f t="shared" si="13"/>
        <v>1.1532385466034756</v>
      </c>
      <c r="S102" s="58">
        <v>18.989999999999998</v>
      </c>
    </row>
    <row r="103" spans="1:19" x14ac:dyDescent="0.3">
      <c r="A103" s="86" t="s">
        <v>130</v>
      </c>
      <c r="B103" s="86" t="s">
        <v>173</v>
      </c>
      <c r="C103" s="86" t="s">
        <v>8</v>
      </c>
      <c r="D103" s="28" t="s">
        <v>176</v>
      </c>
      <c r="E103" t="s">
        <v>177</v>
      </c>
      <c r="F103" s="11">
        <v>19.899999999999999</v>
      </c>
      <c r="G103" s="47">
        <v>18.899999999999999</v>
      </c>
      <c r="H103" s="52">
        <f t="shared" si="12"/>
        <v>1</v>
      </c>
      <c r="I103" s="36">
        <v>18.899999999999999</v>
      </c>
      <c r="J103" s="34"/>
      <c r="K103" s="34"/>
      <c r="L103" s="34"/>
      <c r="M103" s="34"/>
      <c r="N103" s="34"/>
      <c r="O103" s="42">
        <v>22.9</v>
      </c>
      <c r="P103" s="65">
        <f t="shared" si="14"/>
        <v>1.2058978409689309</v>
      </c>
      <c r="Q103" s="59">
        <v>21.9</v>
      </c>
      <c r="R103" s="60">
        <f t="shared" si="13"/>
        <v>1.1532385466034756</v>
      </c>
      <c r="S103" s="58">
        <v>18.989999999999998</v>
      </c>
    </row>
    <row r="104" spans="1:19" x14ac:dyDescent="0.3">
      <c r="A104" s="86" t="s">
        <v>130</v>
      </c>
      <c r="B104" s="86" t="s">
        <v>173</v>
      </c>
      <c r="C104" s="86" t="s">
        <v>8</v>
      </c>
      <c r="D104" s="28" t="s">
        <v>178</v>
      </c>
      <c r="E104" t="s">
        <v>179</v>
      </c>
      <c r="F104" s="11">
        <v>21.9</v>
      </c>
      <c r="G104" s="47">
        <v>19.899999999999999</v>
      </c>
      <c r="H104" s="52">
        <f t="shared" si="12"/>
        <v>1</v>
      </c>
      <c r="I104" s="36">
        <v>19.899999999999999</v>
      </c>
      <c r="J104" s="34">
        <v>18.899999999999999</v>
      </c>
      <c r="K104" s="34">
        <v>18.899999999999999</v>
      </c>
      <c r="L104" s="34">
        <v>19.899999999999999</v>
      </c>
      <c r="M104" s="34">
        <v>19.899999999999999</v>
      </c>
      <c r="N104" s="34">
        <v>20.9</v>
      </c>
      <c r="O104" s="42">
        <v>23.9</v>
      </c>
      <c r="P104" s="65">
        <f t="shared" si="14"/>
        <v>1.2585571353343865</v>
      </c>
      <c r="Q104" s="59">
        <v>22.9</v>
      </c>
      <c r="R104" s="60">
        <f t="shared" si="13"/>
        <v>1.2058978409689309</v>
      </c>
      <c r="S104" s="58">
        <v>18.989999999999998</v>
      </c>
    </row>
    <row r="105" spans="1:19" x14ac:dyDescent="0.3">
      <c r="A105" s="86" t="s">
        <v>130</v>
      </c>
      <c r="B105" s="86" t="s">
        <v>173</v>
      </c>
      <c r="C105" s="86" t="s">
        <v>8</v>
      </c>
      <c r="D105" s="28" t="s">
        <v>180</v>
      </c>
      <c r="E105" t="s">
        <v>181</v>
      </c>
      <c r="F105" s="11">
        <v>19.899999999999999</v>
      </c>
      <c r="G105" s="47">
        <v>19.899999999999999</v>
      </c>
      <c r="H105" s="52">
        <f t="shared" si="12"/>
        <v>1</v>
      </c>
      <c r="I105" s="36">
        <v>19.899999999999999</v>
      </c>
      <c r="J105" s="34">
        <v>17.899999999999999</v>
      </c>
      <c r="K105" s="34">
        <v>17.899999999999999</v>
      </c>
      <c r="L105" s="34">
        <v>18.899999999999999</v>
      </c>
      <c r="M105" s="34">
        <v>18.899999999999999</v>
      </c>
      <c r="N105" s="34">
        <v>19.899999999999999</v>
      </c>
      <c r="O105" s="42">
        <v>23.9</v>
      </c>
      <c r="P105" s="65">
        <f t="shared" si="14"/>
        <v>1.2585571353343865</v>
      </c>
      <c r="Q105" s="59">
        <v>22.9</v>
      </c>
      <c r="R105" s="60">
        <f t="shared" si="13"/>
        <v>1.2058978409689309</v>
      </c>
      <c r="S105" s="58">
        <v>18.989999999999998</v>
      </c>
    </row>
    <row r="106" spans="1:19" x14ac:dyDescent="0.3">
      <c r="A106" s="86" t="s">
        <v>130</v>
      </c>
      <c r="B106" s="86" t="s">
        <v>182</v>
      </c>
      <c r="C106" s="86" t="s">
        <v>8</v>
      </c>
      <c r="D106" s="28" t="s">
        <v>183</v>
      </c>
      <c r="E106" t="s">
        <v>184</v>
      </c>
      <c r="F106" s="11">
        <v>21.9</v>
      </c>
      <c r="G106" s="47">
        <v>21.9</v>
      </c>
      <c r="H106" s="52">
        <f t="shared" si="12"/>
        <v>1</v>
      </c>
      <c r="I106" s="36">
        <v>21.9</v>
      </c>
      <c r="J106" s="34"/>
      <c r="K106" s="34"/>
      <c r="L106" s="34"/>
      <c r="M106" s="34"/>
      <c r="N106" s="34"/>
      <c r="O106" s="42">
        <v>25.9</v>
      </c>
      <c r="P106" s="65">
        <f t="shared" si="14"/>
        <v>1.3638757240652977</v>
      </c>
      <c r="Q106" s="59">
        <v>25.9</v>
      </c>
      <c r="R106" s="60">
        <f t="shared" si="13"/>
        <v>1.3638757240652977</v>
      </c>
      <c r="S106" s="58">
        <v>18.989999999999998</v>
      </c>
    </row>
    <row r="107" spans="1:19" x14ac:dyDescent="0.3">
      <c r="A107" s="86" t="s">
        <v>130</v>
      </c>
      <c r="B107" s="86" t="s">
        <v>182</v>
      </c>
      <c r="C107" s="86" t="s">
        <v>8</v>
      </c>
      <c r="D107" s="28" t="s">
        <v>185</v>
      </c>
      <c r="E107" t="s">
        <v>186</v>
      </c>
      <c r="F107" s="11">
        <v>21.9</v>
      </c>
      <c r="G107" s="47">
        <v>21.9</v>
      </c>
      <c r="H107" s="52">
        <f t="shared" si="12"/>
        <v>1</v>
      </c>
      <c r="I107" s="36">
        <v>21.9</v>
      </c>
      <c r="J107" s="34">
        <v>19.899999999999999</v>
      </c>
      <c r="K107" s="34">
        <v>19.899999999999999</v>
      </c>
      <c r="L107" s="34">
        <v>20.9</v>
      </c>
      <c r="M107" s="34">
        <v>20.9</v>
      </c>
      <c r="N107" s="34">
        <v>21.9</v>
      </c>
      <c r="O107" s="42">
        <v>25.9</v>
      </c>
      <c r="P107" s="65">
        <f t="shared" si="14"/>
        <v>1.3638757240652977</v>
      </c>
      <c r="Q107" s="59">
        <v>25.9</v>
      </c>
      <c r="R107" s="60">
        <f t="shared" si="13"/>
        <v>1.3638757240652977</v>
      </c>
      <c r="S107" s="58">
        <v>18.989999999999998</v>
      </c>
    </row>
    <row r="108" spans="1:19" x14ac:dyDescent="0.3">
      <c r="A108" s="86"/>
      <c r="B108" s="2"/>
      <c r="C108" s="2"/>
      <c r="D108" s="28" t="s">
        <v>476</v>
      </c>
      <c r="E108" s="7">
        <v>21.9</v>
      </c>
      <c r="F108" s="13"/>
      <c r="G108" s="47">
        <v>21.9</v>
      </c>
      <c r="H108" s="52">
        <f t="shared" si="12"/>
        <v>0.91631799163179917</v>
      </c>
      <c r="I108" s="36">
        <v>23.9</v>
      </c>
      <c r="J108" s="34">
        <v>19.899999999999999</v>
      </c>
      <c r="K108" s="34">
        <v>19.899999999999999</v>
      </c>
      <c r="L108" s="34">
        <v>20.9</v>
      </c>
      <c r="M108" s="34">
        <v>20.9</v>
      </c>
      <c r="N108" s="34">
        <v>21.9</v>
      </c>
      <c r="O108" s="42">
        <v>25.9</v>
      </c>
      <c r="P108" s="65"/>
      <c r="Q108" s="59">
        <v>26.9</v>
      </c>
      <c r="R108" s="60" t="e">
        <f t="shared" si="13"/>
        <v>#DIV/0!</v>
      </c>
      <c r="S108" s="58"/>
    </row>
    <row r="109" spans="1:19" x14ac:dyDescent="0.3">
      <c r="A109" s="86" t="s">
        <v>130</v>
      </c>
      <c r="B109" s="2" t="s">
        <v>187</v>
      </c>
      <c r="C109" s="2" t="s">
        <v>8</v>
      </c>
      <c r="D109" s="28" t="s">
        <v>188</v>
      </c>
      <c r="E109" t="s">
        <v>189</v>
      </c>
      <c r="F109" s="11">
        <v>21.9</v>
      </c>
      <c r="G109" s="47">
        <v>21.9</v>
      </c>
      <c r="H109" s="52">
        <f t="shared" si="12"/>
        <v>1</v>
      </c>
      <c r="I109" s="36">
        <v>21.9</v>
      </c>
      <c r="J109" s="34"/>
      <c r="K109" s="34"/>
      <c r="L109" s="34"/>
      <c r="M109" s="34"/>
      <c r="N109" s="34"/>
      <c r="O109" s="42">
        <v>25.9</v>
      </c>
      <c r="P109" s="65">
        <f t="shared" si="14"/>
        <v>0.96282527881040891</v>
      </c>
      <c r="Q109" s="59">
        <v>25.9</v>
      </c>
      <c r="R109" s="60">
        <f t="shared" si="13"/>
        <v>0.96282527881040891</v>
      </c>
      <c r="S109" s="58">
        <v>26.9</v>
      </c>
    </row>
    <row r="110" spans="1:19" x14ac:dyDescent="0.3">
      <c r="A110" s="86" t="s">
        <v>130</v>
      </c>
      <c r="B110" s="86" t="s">
        <v>190</v>
      </c>
      <c r="C110" s="86" t="s">
        <v>8</v>
      </c>
      <c r="D110" s="28" t="s">
        <v>191</v>
      </c>
      <c r="E110" t="s">
        <v>192</v>
      </c>
      <c r="F110" s="11">
        <v>9.9</v>
      </c>
      <c r="G110" s="47">
        <v>10.9</v>
      </c>
      <c r="H110" s="52">
        <f t="shared" si="12"/>
        <v>1.101010101010101</v>
      </c>
      <c r="I110" s="36">
        <v>9.9</v>
      </c>
      <c r="J110" s="34"/>
      <c r="K110" s="34"/>
      <c r="L110" s="34"/>
      <c r="M110" s="34"/>
      <c r="N110" s="34"/>
      <c r="O110" s="42">
        <v>12.9</v>
      </c>
      <c r="P110" s="65"/>
      <c r="Q110" s="59">
        <v>12.9</v>
      </c>
      <c r="R110" s="60" t="e">
        <f t="shared" si="13"/>
        <v>#VALUE!</v>
      </c>
      <c r="S110" s="58" t="s">
        <v>481</v>
      </c>
    </row>
    <row r="111" spans="1:19" x14ac:dyDescent="0.3">
      <c r="A111" s="86" t="s">
        <v>130</v>
      </c>
      <c r="B111" s="86" t="s">
        <v>190</v>
      </c>
      <c r="C111" s="86" t="s">
        <v>8</v>
      </c>
      <c r="D111" s="28" t="s">
        <v>193</v>
      </c>
      <c r="E111" t="s">
        <v>194</v>
      </c>
      <c r="F111" s="11">
        <v>9.9</v>
      </c>
      <c r="G111" s="47">
        <v>10.9</v>
      </c>
      <c r="H111" s="52">
        <f t="shared" si="12"/>
        <v>1.101010101010101</v>
      </c>
      <c r="I111" s="36">
        <v>9.9</v>
      </c>
      <c r="J111" s="34"/>
      <c r="K111" s="34"/>
      <c r="L111" s="34"/>
      <c r="M111" s="34"/>
      <c r="N111" s="34"/>
      <c r="O111" s="42">
        <v>12.9</v>
      </c>
      <c r="P111" s="65"/>
      <c r="Q111" s="59">
        <v>12.9</v>
      </c>
      <c r="R111" s="60" t="e">
        <f t="shared" si="13"/>
        <v>#VALUE!</v>
      </c>
      <c r="S111" s="58" t="s">
        <v>481</v>
      </c>
    </row>
    <row r="112" spans="1:19" x14ac:dyDescent="0.3">
      <c r="A112" s="86" t="s">
        <v>130</v>
      </c>
      <c r="B112" s="86" t="s">
        <v>190</v>
      </c>
      <c r="C112" s="86" t="s">
        <v>8</v>
      </c>
      <c r="D112" s="28" t="s">
        <v>195</v>
      </c>
      <c r="E112" t="s">
        <v>196</v>
      </c>
      <c r="F112" s="11">
        <v>9.9</v>
      </c>
      <c r="G112" s="47">
        <v>10.9</v>
      </c>
      <c r="H112" s="52">
        <f t="shared" si="12"/>
        <v>1.101010101010101</v>
      </c>
      <c r="I112" s="36">
        <v>9.9</v>
      </c>
      <c r="J112" s="34"/>
      <c r="K112" s="34"/>
      <c r="L112" s="34"/>
      <c r="M112" s="34"/>
      <c r="N112" s="34"/>
      <c r="O112" s="42">
        <v>12.9</v>
      </c>
      <c r="P112" s="65"/>
      <c r="Q112" s="59">
        <v>12.9</v>
      </c>
      <c r="R112" s="60" t="e">
        <f t="shared" si="13"/>
        <v>#VALUE!</v>
      </c>
      <c r="S112" s="58" t="s">
        <v>481</v>
      </c>
    </row>
    <row r="113" spans="1:19" x14ac:dyDescent="0.3">
      <c r="A113" s="86" t="s">
        <v>130</v>
      </c>
      <c r="B113" s="2" t="s">
        <v>197</v>
      </c>
      <c r="C113" s="2" t="s">
        <v>8</v>
      </c>
      <c r="D113" s="28" t="s">
        <v>198</v>
      </c>
      <c r="E113" t="s">
        <v>199</v>
      </c>
      <c r="F113" s="11">
        <v>11.9</v>
      </c>
      <c r="G113" s="47">
        <v>12.9</v>
      </c>
      <c r="H113" s="52">
        <f t="shared" si="12"/>
        <v>1.0840336134453781</v>
      </c>
      <c r="I113" s="36">
        <v>11.9</v>
      </c>
      <c r="J113" s="34"/>
      <c r="K113" s="34"/>
      <c r="L113" s="34"/>
      <c r="M113" s="34"/>
      <c r="N113" s="34"/>
      <c r="O113" s="42">
        <v>14.9</v>
      </c>
      <c r="P113" s="65"/>
      <c r="Q113" s="59">
        <v>14.9</v>
      </c>
      <c r="R113" s="60" t="e">
        <f t="shared" si="13"/>
        <v>#VALUE!</v>
      </c>
      <c r="S113" s="58" t="s">
        <v>481</v>
      </c>
    </row>
    <row r="114" spans="1:19" x14ac:dyDescent="0.3">
      <c r="A114" s="86" t="s">
        <v>200</v>
      </c>
      <c r="B114" s="86" t="s">
        <v>200</v>
      </c>
      <c r="C114" s="86" t="s">
        <v>8</v>
      </c>
      <c r="D114" s="28" t="s">
        <v>201</v>
      </c>
      <c r="E114" t="s">
        <v>202</v>
      </c>
      <c r="F114" s="11">
        <v>5.9</v>
      </c>
      <c r="G114" s="47">
        <v>5.9</v>
      </c>
      <c r="H114" s="52">
        <f t="shared" si="12"/>
        <v>1</v>
      </c>
      <c r="I114" s="36">
        <v>5.9</v>
      </c>
      <c r="J114" s="34"/>
      <c r="K114" s="34"/>
      <c r="L114" s="34"/>
      <c r="M114" s="34"/>
      <c r="N114" s="34"/>
      <c r="O114" s="42">
        <v>6.9</v>
      </c>
      <c r="P114" s="65"/>
      <c r="Q114" s="59">
        <v>6.9</v>
      </c>
      <c r="R114" s="60" t="e">
        <f t="shared" si="13"/>
        <v>#VALUE!</v>
      </c>
      <c r="S114" s="58" t="s">
        <v>481</v>
      </c>
    </row>
    <row r="115" spans="1:19" x14ac:dyDescent="0.3">
      <c r="A115" s="86" t="s">
        <v>200</v>
      </c>
      <c r="B115" s="86" t="s">
        <v>200</v>
      </c>
      <c r="C115" s="86" t="s">
        <v>8</v>
      </c>
      <c r="D115" s="28" t="s">
        <v>203</v>
      </c>
      <c r="E115" t="s">
        <v>204</v>
      </c>
      <c r="F115" s="11">
        <v>16.899999999999999</v>
      </c>
      <c r="G115" s="47">
        <v>16.899999999999999</v>
      </c>
      <c r="H115" s="52">
        <f t="shared" si="12"/>
        <v>1</v>
      </c>
      <c r="I115" s="36">
        <v>16.899999999999999</v>
      </c>
      <c r="J115" s="34"/>
      <c r="K115" s="34"/>
      <c r="L115" s="34"/>
      <c r="M115" s="34"/>
      <c r="N115" s="34"/>
      <c r="O115" s="42">
        <v>19.899999999999999</v>
      </c>
      <c r="P115" s="65">
        <f t="shared" si="14"/>
        <v>1.1712772218952325</v>
      </c>
      <c r="Q115" s="59">
        <v>17.899999999999999</v>
      </c>
      <c r="R115" s="60">
        <f t="shared" si="13"/>
        <v>1.053560918187169</v>
      </c>
      <c r="S115" s="58">
        <v>16.989999999999998</v>
      </c>
    </row>
    <row r="116" spans="1:19" x14ac:dyDescent="0.3">
      <c r="A116" s="86" t="s">
        <v>200</v>
      </c>
      <c r="B116" s="86" t="s">
        <v>200</v>
      </c>
      <c r="C116" s="86" t="s">
        <v>8</v>
      </c>
      <c r="D116" s="28" t="s">
        <v>205</v>
      </c>
      <c r="E116" t="s">
        <v>206</v>
      </c>
      <c r="F116" s="11">
        <v>16.899999999999999</v>
      </c>
      <c r="G116" s="47">
        <v>16.899999999999999</v>
      </c>
      <c r="H116" s="52">
        <f t="shared" si="12"/>
        <v>1</v>
      </c>
      <c r="I116" s="36">
        <v>16.899999999999999</v>
      </c>
      <c r="J116" s="34"/>
      <c r="K116" s="34"/>
      <c r="L116" s="34"/>
      <c r="M116" s="34"/>
      <c r="N116" s="34"/>
      <c r="O116" s="42">
        <v>19.899999999999999</v>
      </c>
      <c r="P116" s="65">
        <f t="shared" si="14"/>
        <v>1.1712772218952325</v>
      </c>
      <c r="Q116" s="59">
        <v>19.899999999999999</v>
      </c>
      <c r="R116" s="60">
        <f t="shared" si="13"/>
        <v>1.1712772218952325</v>
      </c>
      <c r="S116" s="58">
        <v>16.989999999999998</v>
      </c>
    </row>
    <row r="117" spans="1:19" x14ac:dyDescent="0.3">
      <c r="A117" s="86" t="s">
        <v>200</v>
      </c>
      <c r="B117" s="86" t="s">
        <v>200</v>
      </c>
      <c r="C117" s="86" t="s">
        <v>8</v>
      </c>
      <c r="D117" s="28" t="s">
        <v>207</v>
      </c>
      <c r="E117" t="s">
        <v>208</v>
      </c>
      <c r="F117" s="11">
        <v>16.899999999999999</v>
      </c>
      <c r="G117" s="47">
        <v>16.899999999999999</v>
      </c>
      <c r="H117" s="52">
        <f t="shared" si="12"/>
        <v>1</v>
      </c>
      <c r="I117" s="36">
        <v>16.899999999999999</v>
      </c>
      <c r="J117" s="34"/>
      <c r="K117" s="34"/>
      <c r="L117" s="34"/>
      <c r="M117" s="34"/>
      <c r="N117" s="34"/>
      <c r="O117" s="42">
        <v>19.899999999999999</v>
      </c>
      <c r="P117" s="65">
        <f t="shared" si="14"/>
        <v>1.1712772218952325</v>
      </c>
      <c r="Q117" s="59">
        <v>19.899999999999999</v>
      </c>
      <c r="R117" s="60">
        <f t="shared" si="13"/>
        <v>1.1712772218952325</v>
      </c>
      <c r="S117" s="58">
        <v>16.989999999999998</v>
      </c>
    </row>
    <row r="118" spans="1:19" x14ac:dyDescent="0.3">
      <c r="A118" s="86" t="s">
        <v>200</v>
      </c>
      <c r="B118" s="86" t="s">
        <v>200</v>
      </c>
      <c r="C118" s="86" t="s">
        <v>8</v>
      </c>
      <c r="D118" s="28" t="s">
        <v>209</v>
      </c>
      <c r="E118" t="s">
        <v>210</v>
      </c>
      <c r="F118" s="11">
        <v>16.899999999999999</v>
      </c>
      <c r="G118" s="47">
        <v>16.899999999999999</v>
      </c>
      <c r="H118" s="52">
        <f t="shared" si="12"/>
        <v>1</v>
      </c>
      <c r="I118" s="36">
        <v>16.899999999999999</v>
      </c>
      <c r="J118" s="34"/>
      <c r="K118" s="34"/>
      <c r="L118" s="34"/>
      <c r="M118" s="34"/>
      <c r="N118" s="34"/>
      <c r="O118" s="42">
        <v>19.899999999999999</v>
      </c>
      <c r="P118" s="65">
        <f t="shared" si="14"/>
        <v>1.1712772218952325</v>
      </c>
      <c r="Q118" s="59">
        <v>19.899999999999999</v>
      </c>
      <c r="R118" s="60">
        <f t="shared" si="13"/>
        <v>1.1712772218952325</v>
      </c>
      <c r="S118" s="58">
        <v>16.989999999999998</v>
      </c>
    </row>
    <row r="119" spans="1:19" x14ac:dyDescent="0.3">
      <c r="A119" s="86" t="s">
        <v>200</v>
      </c>
      <c r="B119" s="86" t="s">
        <v>200</v>
      </c>
      <c r="C119" s="86" t="s">
        <v>8</v>
      </c>
      <c r="D119" s="28" t="s">
        <v>211</v>
      </c>
      <c r="E119" t="s">
        <v>212</v>
      </c>
      <c r="F119" s="11">
        <v>16.899999999999999</v>
      </c>
      <c r="G119" s="47">
        <v>16.899999999999999</v>
      </c>
      <c r="H119" s="52">
        <f t="shared" si="12"/>
        <v>1</v>
      </c>
      <c r="I119" s="36">
        <v>16.899999999999999</v>
      </c>
      <c r="J119" s="34"/>
      <c r="K119" s="34"/>
      <c r="L119" s="34"/>
      <c r="M119" s="34"/>
      <c r="N119" s="34"/>
      <c r="O119" s="42">
        <v>19.899999999999999</v>
      </c>
      <c r="P119" s="65">
        <f t="shared" si="14"/>
        <v>1.1712772218952325</v>
      </c>
      <c r="Q119" s="59">
        <v>19.899999999999999</v>
      </c>
      <c r="R119" s="60">
        <f t="shared" si="13"/>
        <v>1.1712772218952325</v>
      </c>
      <c r="S119" s="58">
        <v>16.989999999999998</v>
      </c>
    </row>
    <row r="120" spans="1:19" x14ac:dyDescent="0.3">
      <c r="A120" s="86" t="s">
        <v>213</v>
      </c>
      <c r="B120" s="86" t="s">
        <v>214</v>
      </c>
      <c r="C120" s="86" t="s">
        <v>8</v>
      </c>
      <c r="D120" s="28" t="s">
        <v>215</v>
      </c>
      <c r="E120" t="s">
        <v>216</v>
      </c>
      <c r="F120" s="11">
        <v>22.9</v>
      </c>
      <c r="G120" s="47">
        <v>22.9</v>
      </c>
      <c r="H120" s="52">
        <f t="shared" si="12"/>
        <v>1</v>
      </c>
      <c r="I120" s="36">
        <v>22.9</v>
      </c>
      <c r="J120" s="34"/>
      <c r="K120" s="34"/>
      <c r="L120" s="34"/>
      <c r="M120" s="34"/>
      <c r="N120" s="34"/>
      <c r="O120" s="42">
        <v>26.9</v>
      </c>
      <c r="P120" s="65">
        <f t="shared" si="14"/>
        <v>1.0764305722288916</v>
      </c>
      <c r="Q120" s="59">
        <v>27.9</v>
      </c>
      <c r="R120" s="60">
        <f t="shared" si="13"/>
        <v>1.1164465786314526</v>
      </c>
      <c r="S120" s="58">
        <v>24.99</v>
      </c>
    </row>
    <row r="121" spans="1:19" x14ac:dyDescent="0.3">
      <c r="A121" s="86" t="s">
        <v>213</v>
      </c>
      <c r="B121" s="86" t="s">
        <v>214</v>
      </c>
      <c r="C121" s="86" t="s">
        <v>8</v>
      </c>
      <c r="D121" s="28" t="s">
        <v>217</v>
      </c>
      <c r="E121" t="s">
        <v>218</v>
      </c>
      <c r="F121" s="11">
        <v>27.9</v>
      </c>
      <c r="G121" s="47">
        <v>27.9</v>
      </c>
      <c r="H121" s="52">
        <f t="shared" si="12"/>
        <v>1</v>
      </c>
      <c r="I121" s="36">
        <v>27.9</v>
      </c>
      <c r="J121" s="34">
        <v>25.9</v>
      </c>
      <c r="K121" s="34">
        <v>25.9</v>
      </c>
      <c r="L121" s="34">
        <v>25.9</v>
      </c>
      <c r="M121" s="34">
        <v>25.9</v>
      </c>
      <c r="N121" s="34">
        <v>25.9</v>
      </c>
      <c r="O121" s="42">
        <v>32.9</v>
      </c>
      <c r="P121" s="65"/>
      <c r="Q121" s="59">
        <v>32.9</v>
      </c>
      <c r="R121" s="60" t="e">
        <f t="shared" si="13"/>
        <v>#VALUE!</v>
      </c>
      <c r="S121" s="58" t="s">
        <v>481</v>
      </c>
    </row>
    <row r="122" spans="1:19" x14ac:dyDescent="0.3">
      <c r="A122" s="86" t="s">
        <v>213</v>
      </c>
      <c r="B122" s="86" t="s">
        <v>214</v>
      </c>
      <c r="C122" s="86" t="s">
        <v>8</v>
      </c>
      <c r="D122" s="28" t="s">
        <v>219</v>
      </c>
      <c r="E122" t="s">
        <v>220</v>
      </c>
      <c r="F122" s="11">
        <v>19.899999999999999</v>
      </c>
      <c r="G122" s="47">
        <v>20.9</v>
      </c>
      <c r="H122" s="52">
        <f t="shared" si="12"/>
        <v>1.050251256281407</v>
      </c>
      <c r="I122" s="36">
        <v>19.899999999999999</v>
      </c>
      <c r="J122" s="34"/>
      <c r="K122" s="34"/>
      <c r="L122" s="34"/>
      <c r="M122" s="34"/>
      <c r="N122" s="34"/>
      <c r="O122" s="42">
        <v>24.9</v>
      </c>
      <c r="P122" s="65"/>
      <c r="Q122" s="59">
        <v>23.4</v>
      </c>
      <c r="R122" s="60" t="e">
        <f t="shared" si="13"/>
        <v>#VALUE!</v>
      </c>
      <c r="S122" s="58" t="s">
        <v>481</v>
      </c>
    </row>
    <row r="123" spans="1:19" x14ac:dyDescent="0.3">
      <c r="A123" s="86"/>
      <c r="B123" s="86"/>
      <c r="C123" s="86"/>
      <c r="D123" s="28" t="s">
        <v>219</v>
      </c>
      <c r="F123" s="11"/>
      <c r="G123" s="47">
        <v>20.9</v>
      </c>
      <c r="H123" s="52">
        <f t="shared" si="12"/>
        <v>1.050251256281407</v>
      </c>
      <c r="I123" s="36">
        <v>19.899999999999999</v>
      </c>
      <c r="J123" s="34"/>
      <c r="K123" s="34"/>
      <c r="L123" s="34"/>
      <c r="M123" s="34"/>
      <c r="N123" s="34"/>
      <c r="O123" s="42">
        <v>24.9</v>
      </c>
      <c r="P123" s="65"/>
      <c r="Q123" s="59">
        <v>23.4</v>
      </c>
      <c r="R123" s="60" t="e">
        <f t="shared" si="13"/>
        <v>#DIV/0!</v>
      </c>
      <c r="S123" s="58"/>
    </row>
    <row r="124" spans="1:19" x14ac:dyDescent="0.3">
      <c r="A124" s="86" t="s">
        <v>213</v>
      </c>
      <c r="B124" s="86" t="s">
        <v>214</v>
      </c>
      <c r="C124" s="86" t="s">
        <v>8</v>
      </c>
      <c r="D124" s="28" t="s">
        <v>477</v>
      </c>
      <c r="E124" t="s">
        <v>221</v>
      </c>
      <c r="F124" s="11">
        <v>17.899999999999999</v>
      </c>
      <c r="G124" s="47">
        <v>20.9</v>
      </c>
      <c r="H124" s="52">
        <f t="shared" si="12"/>
        <v>1.050251256281407</v>
      </c>
      <c r="I124" s="36">
        <v>19.899999999999999</v>
      </c>
      <c r="J124" s="34">
        <v>18.899999999999999</v>
      </c>
      <c r="K124" s="34">
        <v>18.899999999999999</v>
      </c>
      <c r="L124" s="34">
        <v>18.899999999999999</v>
      </c>
      <c r="M124" s="34">
        <v>18.899999999999999</v>
      </c>
      <c r="N124" s="34">
        <v>18.899999999999999</v>
      </c>
      <c r="O124" s="42">
        <v>24.9</v>
      </c>
      <c r="P124" s="65"/>
      <c r="Q124" s="59">
        <v>23.4</v>
      </c>
      <c r="R124" s="60" t="e">
        <f t="shared" si="13"/>
        <v>#DIV/0!</v>
      </c>
      <c r="S124" s="58"/>
    </row>
    <row r="125" spans="1:19" x14ac:dyDescent="0.3">
      <c r="A125" s="86"/>
      <c r="B125" s="86"/>
      <c r="C125" s="86"/>
      <c r="D125" s="28" t="s">
        <v>479</v>
      </c>
      <c r="E125" s="7">
        <v>14.9</v>
      </c>
      <c r="F125" s="11"/>
      <c r="G125" s="47">
        <v>17.899999999999999</v>
      </c>
      <c r="H125" s="52">
        <f t="shared" si="12"/>
        <v>1</v>
      </c>
      <c r="I125" s="36">
        <v>17.899999999999999</v>
      </c>
      <c r="J125" s="34">
        <v>16</v>
      </c>
      <c r="K125" s="34">
        <v>16</v>
      </c>
      <c r="L125" s="34">
        <v>16</v>
      </c>
      <c r="M125" s="34">
        <v>16</v>
      </c>
      <c r="N125" s="34">
        <v>16</v>
      </c>
      <c r="O125" s="42">
        <v>20.9</v>
      </c>
      <c r="P125" s="65"/>
      <c r="Q125" s="59">
        <v>19.899999999999999</v>
      </c>
      <c r="R125" s="60" t="e">
        <f t="shared" si="13"/>
        <v>#VALUE!</v>
      </c>
      <c r="S125" s="58" t="s">
        <v>481</v>
      </c>
    </row>
    <row r="126" spans="1:19" x14ac:dyDescent="0.3">
      <c r="A126" s="86" t="s">
        <v>213</v>
      </c>
      <c r="B126" s="86" t="s">
        <v>214</v>
      </c>
      <c r="C126" s="86" t="s">
        <v>8</v>
      </c>
      <c r="D126" s="28" t="s">
        <v>222</v>
      </c>
      <c r="E126" t="s">
        <v>223</v>
      </c>
      <c r="F126" s="11">
        <v>14.9</v>
      </c>
      <c r="G126" s="47">
        <v>14.9</v>
      </c>
      <c r="H126" s="52">
        <f t="shared" si="12"/>
        <v>1</v>
      </c>
      <c r="I126" s="36">
        <v>14.9</v>
      </c>
      <c r="J126" s="34">
        <v>14</v>
      </c>
      <c r="K126" s="34">
        <v>14</v>
      </c>
      <c r="L126" s="34">
        <v>14</v>
      </c>
      <c r="M126" s="34">
        <v>14</v>
      </c>
      <c r="N126" s="34">
        <v>14</v>
      </c>
      <c r="O126" s="42">
        <v>17.899999999999999</v>
      </c>
      <c r="P126" s="65">
        <f t="shared" si="14"/>
        <v>1.1941294196130752</v>
      </c>
      <c r="Q126" s="59">
        <v>17.899999999999999</v>
      </c>
      <c r="R126" s="60">
        <f t="shared" si="13"/>
        <v>1.1941294196130752</v>
      </c>
      <c r="S126" s="58">
        <v>14.99</v>
      </c>
    </row>
    <row r="127" spans="1:19" x14ac:dyDescent="0.3">
      <c r="A127" s="86" t="s">
        <v>213</v>
      </c>
      <c r="B127" s="86" t="s">
        <v>214</v>
      </c>
      <c r="C127" s="86" t="s">
        <v>8</v>
      </c>
      <c r="D127" s="28" t="s">
        <v>224</v>
      </c>
      <c r="E127" t="s">
        <v>225</v>
      </c>
      <c r="F127" s="11">
        <v>12.9</v>
      </c>
      <c r="G127" s="47">
        <v>12.9</v>
      </c>
      <c r="H127" s="52">
        <f t="shared" si="12"/>
        <v>1</v>
      </c>
      <c r="I127" s="36">
        <v>12.9</v>
      </c>
      <c r="J127" s="34">
        <v>11.9</v>
      </c>
      <c r="K127" s="34">
        <v>11.9</v>
      </c>
      <c r="L127" s="34">
        <v>11.9</v>
      </c>
      <c r="M127" s="34">
        <v>11.9</v>
      </c>
      <c r="N127" s="34">
        <v>11.9</v>
      </c>
      <c r="O127" s="42">
        <v>15.9</v>
      </c>
      <c r="P127" s="65"/>
      <c r="Q127" s="59">
        <v>14.9</v>
      </c>
      <c r="R127" s="60" t="e">
        <f t="shared" si="13"/>
        <v>#VALUE!</v>
      </c>
      <c r="S127" s="58" t="s">
        <v>481</v>
      </c>
    </row>
    <row r="128" spans="1:19" x14ac:dyDescent="0.3">
      <c r="A128" s="86" t="s">
        <v>213</v>
      </c>
      <c r="B128" s="86" t="s">
        <v>214</v>
      </c>
      <c r="C128" s="86" t="s">
        <v>8</v>
      </c>
      <c r="D128" s="28" t="s">
        <v>226</v>
      </c>
      <c r="E128" t="s">
        <v>227</v>
      </c>
      <c r="F128" s="11">
        <v>27.9</v>
      </c>
      <c r="G128" s="47">
        <v>27.9</v>
      </c>
      <c r="H128" s="52">
        <f t="shared" si="12"/>
        <v>1</v>
      </c>
      <c r="I128" s="36">
        <v>27.9</v>
      </c>
      <c r="J128" s="34">
        <v>25.9</v>
      </c>
      <c r="K128" s="34">
        <v>25.9</v>
      </c>
      <c r="L128" s="34">
        <v>25.9</v>
      </c>
      <c r="M128" s="34">
        <v>25.9</v>
      </c>
      <c r="N128" s="34">
        <v>25.9</v>
      </c>
      <c r="O128" s="42">
        <v>33.9</v>
      </c>
      <c r="P128" s="65"/>
      <c r="Q128" s="59">
        <v>32.9</v>
      </c>
      <c r="R128" s="60" t="e">
        <f t="shared" si="13"/>
        <v>#VALUE!</v>
      </c>
      <c r="S128" s="58" t="s">
        <v>481</v>
      </c>
    </row>
    <row r="129" spans="1:19" x14ac:dyDescent="0.3">
      <c r="A129" s="86" t="s">
        <v>213</v>
      </c>
      <c r="B129" s="86" t="s">
        <v>214</v>
      </c>
      <c r="C129" s="86" t="s">
        <v>8</v>
      </c>
      <c r="D129" s="28" t="s">
        <v>228</v>
      </c>
      <c r="E129" t="s">
        <v>229</v>
      </c>
      <c r="F129" s="11">
        <v>20.9</v>
      </c>
      <c r="G129" s="47">
        <v>20.9</v>
      </c>
      <c r="H129" s="52">
        <f t="shared" si="12"/>
        <v>1</v>
      </c>
      <c r="I129" s="36">
        <v>20.9</v>
      </c>
      <c r="J129" s="34">
        <v>18.899999999999999</v>
      </c>
      <c r="K129" s="34">
        <v>18.899999999999999</v>
      </c>
      <c r="L129" s="34">
        <v>18.899999999999999</v>
      </c>
      <c r="M129" s="34">
        <v>18.899999999999999</v>
      </c>
      <c r="N129" s="34">
        <v>18.899999999999999</v>
      </c>
      <c r="O129" s="42">
        <v>24.9</v>
      </c>
      <c r="P129" s="65"/>
      <c r="Q129" s="59">
        <v>24.9</v>
      </c>
      <c r="R129" s="60" t="e">
        <f t="shared" si="13"/>
        <v>#VALUE!</v>
      </c>
      <c r="S129" s="58" t="s">
        <v>481</v>
      </c>
    </row>
    <row r="130" spans="1:19" x14ac:dyDescent="0.3">
      <c r="A130" s="86" t="s">
        <v>213</v>
      </c>
      <c r="B130" s="86" t="s">
        <v>214</v>
      </c>
      <c r="C130" s="86" t="s">
        <v>8</v>
      </c>
      <c r="D130" s="28" t="s">
        <v>230</v>
      </c>
      <c r="E130" t="s">
        <v>231</v>
      </c>
      <c r="F130" s="11">
        <v>30.9</v>
      </c>
      <c r="G130" s="47">
        <v>30.9</v>
      </c>
      <c r="H130" s="52">
        <f t="shared" si="12"/>
        <v>1</v>
      </c>
      <c r="I130" s="36">
        <v>30.9</v>
      </c>
      <c r="J130" s="34">
        <v>28.9</v>
      </c>
      <c r="K130" s="34">
        <v>28.9</v>
      </c>
      <c r="L130" s="34">
        <v>28.9</v>
      </c>
      <c r="M130" s="34">
        <v>28.9</v>
      </c>
      <c r="N130" s="34">
        <v>28.9</v>
      </c>
      <c r="O130" s="42">
        <v>36.9</v>
      </c>
      <c r="P130" s="65"/>
      <c r="Q130" s="59">
        <v>33.9</v>
      </c>
      <c r="R130" s="60" t="e">
        <f t="shared" si="13"/>
        <v>#VALUE!</v>
      </c>
      <c r="S130" s="58" t="s">
        <v>481</v>
      </c>
    </row>
    <row r="131" spans="1:19" x14ac:dyDescent="0.3">
      <c r="A131" s="86" t="s">
        <v>213</v>
      </c>
      <c r="B131" s="86" t="s">
        <v>214</v>
      </c>
      <c r="C131" s="86" t="s">
        <v>8</v>
      </c>
      <c r="D131" s="28" t="s">
        <v>232</v>
      </c>
      <c r="E131" t="s">
        <v>233</v>
      </c>
      <c r="F131" s="11">
        <v>30.9</v>
      </c>
      <c r="G131" s="47">
        <v>30.9</v>
      </c>
      <c r="H131" s="52">
        <f t="shared" si="12"/>
        <v>1</v>
      </c>
      <c r="I131" s="36">
        <v>30.9</v>
      </c>
      <c r="J131" s="34">
        <v>28.9</v>
      </c>
      <c r="K131" s="34">
        <v>28.9</v>
      </c>
      <c r="L131" s="34">
        <v>28.9</v>
      </c>
      <c r="M131" s="34">
        <v>28.9</v>
      </c>
      <c r="N131" s="34">
        <v>28.9</v>
      </c>
      <c r="O131" s="42">
        <v>36.9</v>
      </c>
      <c r="P131" s="65"/>
      <c r="Q131" s="59">
        <v>33.9</v>
      </c>
      <c r="R131" s="60" t="e">
        <f t="shared" si="13"/>
        <v>#VALUE!</v>
      </c>
      <c r="S131" s="58" t="s">
        <v>481</v>
      </c>
    </row>
    <row r="132" spans="1:19" x14ac:dyDescent="0.3">
      <c r="A132" s="86" t="s">
        <v>213</v>
      </c>
      <c r="B132" s="86" t="s">
        <v>234</v>
      </c>
      <c r="C132" s="86" t="s">
        <v>8</v>
      </c>
      <c r="D132" s="28" t="s">
        <v>235</v>
      </c>
      <c r="E132" t="s">
        <v>236</v>
      </c>
      <c r="F132" s="11">
        <v>17.899999999999999</v>
      </c>
      <c r="G132" s="47">
        <v>18.899999999999999</v>
      </c>
      <c r="H132" s="52">
        <f t="shared" ref="H132:H195" si="16">G132/I132</f>
        <v>1.0558659217877095</v>
      </c>
      <c r="I132" s="36">
        <v>17.899999999999999</v>
      </c>
      <c r="J132" s="34"/>
      <c r="K132" s="34"/>
      <c r="L132" s="34"/>
      <c r="M132" s="34"/>
      <c r="N132" s="34"/>
      <c r="O132" s="42">
        <v>22.9</v>
      </c>
      <c r="P132" s="65"/>
      <c r="Q132" s="59">
        <v>19.899999999999999</v>
      </c>
      <c r="R132" s="60" t="e">
        <f t="shared" ref="R132:R168" si="17">Q132/S132</f>
        <v>#VALUE!</v>
      </c>
      <c r="S132" s="58" t="s">
        <v>481</v>
      </c>
    </row>
    <row r="133" spans="1:19" x14ac:dyDescent="0.3">
      <c r="A133" s="86" t="s">
        <v>213</v>
      </c>
      <c r="B133" s="86" t="s">
        <v>234</v>
      </c>
      <c r="C133" s="86" t="s">
        <v>8</v>
      </c>
      <c r="D133" s="28" t="s">
        <v>237</v>
      </c>
      <c r="E133" t="s">
        <v>238</v>
      </c>
      <c r="F133" s="11">
        <v>15.9</v>
      </c>
      <c r="G133" s="47">
        <v>16.899999999999999</v>
      </c>
      <c r="H133" s="52">
        <f t="shared" si="16"/>
        <v>1.0628930817610063</v>
      </c>
      <c r="I133" s="36">
        <v>15.9</v>
      </c>
      <c r="J133" s="34"/>
      <c r="K133" s="34"/>
      <c r="L133" s="34"/>
      <c r="M133" s="34"/>
      <c r="N133" s="34"/>
      <c r="O133" s="42">
        <v>19.899999999999999</v>
      </c>
      <c r="P133" s="65"/>
      <c r="Q133" s="59">
        <v>17.899999999999999</v>
      </c>
      <c r="R133" s="60" t="e">
        <f t="shared" si="17"/>
        <v>#VALUE!</v>
      </c>
      <c r="S133" s="58" t="s">
        <v>481</v>
      </c>
    </row>
    <row r="134" spans="1:19" x14ac:dyDescent="0.3">
      <c r="A134" s="86" t="s">
        <v>213</v>
      </c>
      <c r="B134" s="86" t="s">
        <v>234</v>
      </c>
      <c r="C134" s="86" t="s">
        <v>8</v>
      </c>
      <c r="D134" s="28" t="s">
        <v>239</v>
      </c>
      <c r="E134" t="s">
        <v>240</v>
      </c>
      <c r="F134" s="11">
        <v>20.9</v>
      </c>
      <c r="G134" s="47">
        <v>21.9</v>
      </c>
      <c r="H134" s="52">
        <f t="shared" si="16"/>
        <v>1.0478468899521531</v>
      </c>
      <c r="I134" s="36">
        <v>20.9</v>
      </c>
      <c r="J134" s="34"/>
      <c r="K134" s="34"/>
      <c r="L134" s="34"/>
      <c r="M134" s="34"/>
      <c r="N134" s="34"/>
      <c r="O134" s="42">
        <v>25.9</v>
      </c>
      <c r="P134" s="65"/>
      <c r="Q134" s="59">
        <v>23.9</v>
      </c>
      <c r="R134" s="60" t="e">
        <f t="shared" si="17"/>
        <v>#VALUE!</v>
      </c>
      <c r="S134" s="58" t="s">
        <v>481</v>
      </c>
    </row>
    <row r="135" spans="1:19" x14ac:dyDescent="0.3">
      <c r="A135" s="86" t="s">
        <v>213</v>
      </c>
      <c r="B135" s="86" t="s">
        <v>234</v>
      </c>
      <c r="C135" s="86" t="s">
        <v>8</v>
      </c>
      <c r="D135" s="28" t="s">
        <v>241</v>
      </c>
      <c r="E135" t="s">
        <v>242</v>
      </c>
      <c r="F135" s="11">
        <v>19.899999999999999</v>
      </c>
      <c r="G135" s="47">
        <v>19.899999999999999</v>
      </c>
      <c r="H135" s="52">
        <f t="shared" si="16"/>
        <v>1</v>
      </c>
      <c r="I135" s="36">
        <v>19.899999999999999</v>
      </c>
      <c r="J135" s="34">
        <v>18.899999999999999</v>
      </c>
      <c r="K135" s="34">
        <v>18.899999999999999</v>
      </c>
      <c r="L135" s="34">
        <v>18.899999999999999</v>
      </c>
      <c r="M135" s="34">
        <v>18.899999999999999</v>
      </c>
      <c r="N135" s="34">
        <v>18.899999999999999</v>
      </c>
      <c r="O135" s="42">
        <v>23.9</v>
      </c>
      <c r="P135" s="65"/>
      <c r="Q135" s="59">
        <v>22.9</v>
      </c>
      <c r="R135" s="60" t="e">
        <f t="shared" si="17"/>
        <v>#VALUE!</v>
      </c>
      <c r="S135" s="58" t="s">
        <v>481</v>
      </c>
    </row>
    <row r="136" spans="1:19" x14ac:dyDescent="0.3">
      <c r="A136" s="86" t="s">
        <v>213</v>
      </c>
      <c r="B136" s="86" t="s">
        <v>234</v>
      </c>
      <c r="C136" s="86" t="s">
        <v>8</v>
      </c>
      <c r="D136" s="28" t="s">
        <v>243</v>
      </c>
      <c r="E136" t="s">
        <v>244</v>
      </c>
      <c r="F136" s="11">
        <v>11.9</v>
      </c>
      <c r="G136" s="47">
        <v>9.9</v>
      </c>
      <c r="H136" s="52">
        <f t="shared" si="16"/>
        <v>0.83193277310924374</v>
      </c>
      <c r="I136" s="36">
        <v>11.9</v>
      </c>
      <c r="J136" s="34">
        <v>5.9</v>
      </c>
      <c r="K136" s="34">
        <v>5.9</v>
      </c>
      <c r="L136" s="34">
        <v>5.9</v>
      </c>
      <c r="M136" s="34">
        <v>5.9</v>
      </c>
      <c r="N136" s="34">
        <v>5.9</v>
      </c>
      <c r="O136" s="42">
        <v>12.9</v>
      </c>
      <c r="P136" s="65"/>
      <c r="Q136" s="59">
        <v>13.9</v>
      </c>
      <c r="R136" s="60" t="e">
        <f t="shared" si="17"/>
        <v>#VALUE!</v>
      </c>
      <c r="S136" s="58" t="s">
        <v>481</v>
      </c>
    </row>
    <row r="137" spans="1:19" x14ac:dyDescent="0.3">
      <c r="A137" s="86" t="s">
        <v>213</v>
      </c>
      <c r="B137" s="86" t="s">
        <v>245</v>
      </c>
      <c r="C137" s="86" t="s">
        <v>8</v>
      </c>
      <c r="D137" s="28" t="s">
        <v>246</v>
      </c>
      <c r="E137" t="s">
        <v>247</v>
      </c>
      <c r="F137" s="11">
        <v>3</v>
      </c>
      <c r="G137" s="47">
        <v>3.5</v>
      </c>
      <c r="H137" s="52">
        <f t="shared" si="16"/>
        <v>1</v>
      </c>
      <c r="I137" s="36">
        <v>3.5</v>
      </c>
      <c r="J137" s="34"/>
      <c r="K137" s="34"/>
      <c r="L137" s="34"/>
      <c r="M137" s="34"/>
      <c r="N137" s="34"/>
      <c r="O137" s="42">
        <v>3.9</v>
      </c>
      <c r="P137" s="65">
        <f t="shared" ref="P137:P168" si="18">O137/S137</f>
        <v>1.95</v>
      </c>
      <c r="Q137" s="59">
        <v>3.9</v>
      </c>
      <c r="R137" s="60">
        <f t="shared" si="17"/>
        <v>1.95</v>
      </c>
      <c r="S137" s="58">
        <v>2</v>
      </c>
    </row>
    <row r="138" spans="1:19" x14ac:dyDescent="0.3">
      <c r="A138" s="86" t="s">
        <v>213</v>
      </c>
      <c r="B138" s="86" t="s">
        <v>245</v>
      </c>
      <c r="C138" s="86" t="s">
        <v>8</v>
      </c>
      <c r="D138" s="28" t="s">
        <v>248</v>
      </c>
      <c r="E138" t="s">
        <v>249</v>
      </c>
      <c r="F138" s="11">
        <v>4.9000000000000004</v>
      </c>
      <c r="G138" s="47">
        <v>3.9</v>
      </c>
      <c r="H138" s="52">
        <f t="shared" si="16"/>
        <v>1</v>
      </c>
      <c r="I138" s="36">
        <v>3.9</v>
      </c>
      <c r="J138" s="34"/>
      <c r="K138" s="34"/>
      <c r="L138" s="34"/>
      <c r="M138" s="34"/>
      <c r="N138" s="34"/>
      <c r="O138" s="42">
        <v>4.9000000000000004</v>
      </c>
      <c r="P138" s="65">
        <f t="shared" si="18"/>
        <v>2.4500000000000002</v>
      </c>
      <c r="Q138" s="59">
        <v>5.7</v>
      </c>
      <c r="R138" s="60">
        <f t="shared" si="17"/>
        <v>2.85</v>
      </c>
      <c r="S138" s="58">
        <v>2</v>
      </c>
    </row>
    <row r="139" spans="1:19" x14ac:dyDescent="0.3">
      <c r="A139" s="86" t="s">
        <v>213</v>
      </c>
      <c r="B139" s="86" t="s">
        <v>245</v>
      </c>
      <c r="C139" s="86" t="s">
        <v>8</v>
      </c>
      <c r="D139" s="28" t="s">
        <v>250</v>
      </c>
      <c r="E139" t="s">
        <v>251</v>
      </c>
      <c r="F139" s="11">
        <f t="shared" ref="F139:F161" si="19">I139</f>
        <v>10.9</v>
      </c>
      <c r="G139" s="47">
        <v>10.9</v>
      </c>
      <c r="H139" s="52">
        <f t="shared" si="16"/>
        <v>1</v>
      </c>
      <c r="I139" s="36">
        <v>10.9</v>
      </c>
      <c r="J139" s="34"/>
      <c r="K139" s="34"/>
      <c r="L139" s="34"/>
      <c r="M139" s="34"/>
      <c r="N139" s="34"/>
      <c r="O139" s="42">
        <v>12.9</v>
      </c>
      <c r="P139" s="65">
        <f t="shared" si="18"/>
        <v>1.303030303030303</v>
      </c>
      <c r="Q139" s="59">
        <v>11.9</v>
      </c>
      <c r="R139" s="60">
        <f t="shared" si="17"/>
        <v>1.202020202020202</v>
      </c>
      <c r="S139" s="58">
        <v>9.9</v>
      </c>
    </row>
    <row r="140" spans="1:19" x14ac:dyDescent="0.3">
      <c r="A140" s="86" t="s">
        <v>213</v>
      </c>
      <c r="B140" s="86" t="s">
        <v>245</v>
      </c>
      <c r="C140" s="86" t="s">
        <v>8</v>
      </c>
      <c r="D140" s="28" t="s">
        <v>252</v>
      </c>
      <c r="E140" t="s">
        <v>253</v>
      </c>
      <c r="F140" s="11">
        <f t="shared" si="19"/>
        <v>10.9</v>
      </c>
      <c r="G140" s="47">
        <v>10.9</v>
      </c>
      <c r="H140" s="52">
        <f t="shared" si="16"/>
        <v>1</v>
      </c>
      <c r="I140" s="36">
        <v>10.9</v>
      </c>
      <c r="J140" s="34"/>
      <c r="K140" s="34"/>
      <c r="L140" s="34"/>
      <c r="M140" s="34"/>
      <c r="N140" s="34"/>
      <c r="O140" s="42">
        <v>12.9</v>
      </c>
      <c r="P140" s="65">
        <f t="shared" si="18"/>
        <v>1.303030303030303</v>
      </c>
      <c r="Q140" s="59">
        <v>11.9</v>
      </c>
      <c r="R140" s="60">
        <f t="shared" si="17"/>
        <v>1.202020202020202</v>
      </c>
      <c r="S140" s="58">
        <v>9.9</v>
      </c>
    </row>
    <row r="141" spans="1:19" x14ac:dyDescent="0.3">
      <c r="A141" s="86" t="s">
        <v>213</v>
      </c>
      <c r="B141" s="86" t="s">
        <v>245</v>
      </c>
      <c r="C141" s="86" t="s">
        <v>8</v>
      </c>
      <c r="D141" s="28" t="s">
        <v>254</v>
      </c>
      <c r="E141" t="s">
        <v>255</v>
      </c>
      <c r="F141" s="11">
        <f t="shared" si="19"/>
        <v>10.9</v>
      </c>
      <c r="G141" s="47">
        <v>10.9</v>
      </c>
      <c r="H141" s="52">
        <f t="shared" si="16"/>
        <v>1</v>
      </c>
      <c r="I141" s="36">
        <v>10.9</v>
      </c>
      <c r="J141" s="34"/>
      <c r="K141" s="34"/>
      <c r="L141" s="34"/>
      <c r="M141" s="34"/>
      <c r="N141" s="34"/>
      <c r="O141" s="42">
        <v>12.9</v>
      </c>
      <c r="P141" s="65">
        <f t="shared" si="18"/>
        <v>1.303030303030303</v>
      </c>
      <c r="Q141" s="59">
        <v>11.9</v>
      </c>
      <c r="R141" s="60">
        <f t="shared" si="17"/>
        <v>1.202020202020202</v>
      </c>
      <c r="S141" s="58">
        <v>9.9</v>
      </c>
    </row>
    <row r="142" spans="1:19" x14ac:dyDescent="0.3">
      <c r="A142" s="86" t="s">
        <v>213</v>
      </c>
      <c r="B142" s="86" t="s">
        <v>245</v>
      </c>
      <c r="C142" s="86" t="s">
        <v>8</v>
      </c>
      <c r="D142" s="28" t="s">
        <v>256</v>
      </c>
      <c r="E142" t="s">
        <v>257</v>
      </c>
      <c r="F142" s="11">
        <f t="shared" si="19"/>
        <v>10.9</v>
      </c>
      <c r="G142" s="47">
        <v>10.9</v>
      </c>
      <c r="H142" s="52">
        <f t="shared" si="16"/>
        <v>1</v>
      </c>
      <c r="I142" s="36">
        <v>10.9</v>
      </c>
      <c r="J142" s="34"/>
      <c r="K142" s="34"/>
      <c r="L142" s="34"/>
      <c r="M142" s="34"/>
      <c r="N142" s="34"/>
      <c r="O142" s="42">
        <v>12.9</v>
      </c>
      <c r="P142" s="65">
        <f t="shared" si="18"/>
        <v>1.303030303030303</v>
      </c>
      <c r="Q142" s="59">
        <v>11.9</v>
      </c>
      <c r="R142" s="60">
        <f t="shared" si="17"/>
        <v>1.202020202020202</v>
      </c>
      <c r="S142" s="58">
        <v>9.9</v>
      </c>
    </row>
    <row r="143" spans="1:19" x14ac:dyDescent="0.3">
      <c r="A143" s="86" t="s">
        <v>213</v>
      </c>
      <c r="B143" s="86" t="s">
        <v>245</v>
      </c>
      <c r="C143" s="86" t="s">
        <v>8</v>
      </c>
      <c r="D143" s="28" t="s">
        <v>258</v>
      </c>
      <c r="E143" t="s">
        <v>259</v>
      </c>
      <c r="F143" s="11">
        <f t="shared" si="19"/>
        <v>10.9</v>
      </c>
      <c r="G143" s="47">
        <v>10.9</v>
      </c>
      <c r="H143" s="52">
        <f t="shared" si="16"/>
        <v>1</v>
      </c>
      <c r="I143" s="36">
        <v>10.9</v>
      </c>
      <c r="J143" s="34"/>
      <c r="K143" s="34"/>
      <c r="L143" s="34"/>
      <c r="M143" s="34"/>
      <c r="N143" s="34"/>
      <c r="O143" s="42">
        <v>12.9</v>
      </c>
      <c r="P143" s="65">
        <f t="shared" si="18"/>
        <v>6.45</v>
      </c>
      <c r="Q143" s="59">
        <v>11.9</v>
      </c>
      <c r="R143" s="60">
        <f t="shared" si="17"/>
        <v>5.95</v>
      </c>
      <c r="S143" s="58">
        <v>2</v>
      </c>
    </row>
    <row r="144" spans="1:19" x14ac:dyDescent="0.3">
      <c r="A144" s="86" t="s">
        <v>213</v>
      </c>
      <c r="B144" s="86" t="s">
        <v>245</v>
      </c>
      <c r="C144" s="86" t="s">
        <v>8</v>
      </c>
      <c r="D144" s="28" t="s">
        <v>260</v>
      </c>
      <c r="E144" t="s">
        <v>261</v>
      </c>
      <c r="F144" s="11">
        <v>3</v>
      </c>
      <c r="G144" s="47">
        <v>3.5</v>
      </c>
      <c r="H144" s="52">
        <f t="shared" si="16"/>
        <v>1</v>
      </c>
      <c r="I144" s="36">
        <v>3.5</v>
      </c>
      <c r="J144" s="34"/>
      <c r="K144" s="34"/>
      <c r="L144" s="34"/>
      <c r="M144" s="34"/>
      <c r="N144" s="34"/>
      <c r="O144" s="42">
        <v>3.9</v>
      </c>
      <c r="P144" s="65"/>
      <c r="Q144" s="59">
        <v>3.9</v>
      </c>
      <c r="R144" s="60" t="e">
        <f t="shared" si="17"/>
        <v>#VALUE!</v>
      </c>
      <c r="S144" s="58" t="s">
        <v>481</v>
      </c>
    </row>
    <row r="145" spans="1:19" x14ac:dyDescent="0.3">
      <c r="A145" s="86" t="s">
        <v>213</v>
      </c>
      <c r="B145" s="86" t="s">
        <v>245</v>
      </c>
      <c r="C145" s="86" t="s">
        <v>8</v>
      </c>
      <c r="D145" s="28" t="s">
        <v>262</v>
      </c>
      <c r="E145" t="s">
        <v>263</v>
      </c>
      <c r="F145" s="11">
        <v>3</v>
      </c>
      <c r="G145" s="47">
        <v>3.5</v>
      </c>
      <c r="H145" s="52">
        <f t="shared" si="16"/>
        <v>1</v>
      </c>
      <c r="I145" s="36">
        <v>3.5</v>
      </c>
      <c r="J145" s="34"/>
      <c r="K145" s="34"/>
      <c r="L145" s="34"/>
      <c r="M145" s="34"/>
      <c r="N145" s="34"/>
      <c r="O145" s="42">
        <v>3.9</v>
      </c>
      <c r="P145" s="65">
        <f t="shared" si="18"/>
        <v>1.95</v>
      </c>
      <c r="Q145" s="59">
        <v>3.9</v>
      </c>
      <c r="R145" s="60">
        <f t="shared" si="17"/>
        <v>1.95</v>
      </c>
      <c r="S145" s="58">
        <v>2</v>
      </c>
    </row>
    <row r="146" spans="1:19" x14ac:dyDescent="0.3">
      <c r="A146" s="86" t="s">
        <v>213</v>
      </c>
      <c r="B146" s="86" t="s">
        <v>245</v>
      </c>
      <c r="C146" s="86" t="s">
        <v>8</v>
      </c>
      <c r="D146" s="28" t="s">
        <v>264</v>
      </c>
      <c r="E146" t="s">
        <v>265</v>
      </c>
      <c r="F146" s="11">
        <v>4.9000000000000004</v>
      </c>
      <c r="G146" s="47">
        <v>5.3</v>
      </c>
      <c r="H146" s="52">
        <f t="shared" si="16"/>
        <v>0.89830508474576265</v>
      </c>
      <c r="I146" s="36">
        <v>5.9</v>
      </c>
      <c r="J146" s="34"/>
      <c r="K146" s="34"/>
      <c r="L146" s="34"/>
      <c r="M146" s="34"/>
      <c r="N146" s="34"/>
      <c r="O146" s="42">
        <v>6.9</v>
      </c>
      <c r="P146" s="65"/>
      <c r="Q146" s="59">
        <v>6.9</v>
      </c>
      <c r="R146" s="60" t="e">
        <f t="shared" si="17"/>
        <v>#VALUE!</v>
      </c>
      <c r="S146" s="58" t="s">
        <v>481</v>
      </c>
    </row>
    <row r="147" spans="1:19" x14ac:dyDescent="0.3">
      <c r="A147" s="86" t="s">
        <v>213</v>
      </c>
      <c r="B147" s="86" t="s">
        <v>245</v>
      </c>
      <c r="C147" s="86" t="s">
        <v>8</v>
      </c>
      <c r="D147" s="28" t="s">
        <v>266</v>
      </c>
      <c r="E147" t="s">
        <v>267</v>
      </c>
      <c r="F147" s="11">
        <f t="shared" si="19"/>
        <v>10.9</v>
      </c>
      <c r="G147" s="47">
        <v>10.9</v>
      </c>
      <c r="H147" s="52">
        <f t="shared" si="16"/>
        <v>1</v>
      </c>
      <c r="I147" s="36">
        <v>10.9</v>
      </c>
      <c r="J147" s="34"/>
      <c r="K147" s="34"/>
      <c r="L147" s="34"/>
      <c r="M147" s="34"/>
      <c r="N147" s="34"/>
      <c r="O147" s="42">
        <v>12.9</v>
      </c>
      <c r="P147" s="65"/>
      <c r="Q147" s="59">
        <v>11.9</v>
      </c>
      <c r="R147" s="60" t="e">
        <f t="shared" si="17"/>
        <v>#VALUE!</v>
      </c>
      <c r="S147" s="58" t="s">
        <v>481</v>
      </c>
    </row>
    <row r="148" spans="1:19" x14ac:dyDescent="0.3">
      <c r="A148" s="86" t="s">
        <v>213</v>
      </c>
      <c r="B148" s="86" t="s">
        <v>245</v>
      </c>
      <c r="C148" s="86" t="s">
        <v>8</v>
      </c>
      <c r="D148" s="28" t="s">
        <v>268</v>
      </c>
      <c r="E148" t="s">
        <v>269</v>
      </c>
      <c r="F148" s="11">
        <f t="shared" si="19"/>
        <v>3.9</v>
      </c>
      <c r="G148" s="47">
        <v>3.9</v>
      </c>
      <c r="H148" s="52">
        <f t="shared" si="16"/>
        <v>1</v>
      </c>
      <c r="I148" s="36">
        <v>3.9</v>
      </c>
      <c r="J148" s="34"/>
      <c r="K148" s="34"/>
      <c r="L148" s="34"/>
      <c r="M148" s="34"/>
      <c r="N148" s="34"/>
      <c r="O148" s="42">
        <v>3.9</v>
      </c>
      <c r="P148" s="65"/>
      <c r="Q148" s="59">
        <v>3.9</v>
      </c>
      <c r="R148" s="60" t="e">
        <f t="shared" si="17"/>
        <v>#VALUE!</v>
      </c>
      <c r="S148" s="58" t="s">
        <v>481</v>
      </c>
    </row>
    <row r="149" spans="1:19" x14ac:dyDescent="0.3">
      <c r="A149" s="86" t="s">
        <v>213</v>
      </c>
      <c r="B149" s="86" t="s">
        <v>245</v>
      </c>
      <c r="C149" s="86" t="s">
        <v>8</v>
      </c>
      <c r="D149" s="28" t="s">
        <v>270</v>
      </c>
      <c r="E149" t="s">
        <v>271</v>
      </c>
      <c r="F149" s="11">
        <f t="shared" si="19"/>
        <v>3.9</v>
      </c>
      <c r="G149" s="47">
        <v>3.9</v>
      </c>
      <c r="H149" s="52">
        <f t="shared" si="16"/>
        <v>1</v>
      </c>
      <c r="I149" s="36">
        <v>3.9</v>
      </c>
      <c r="J149" s="34">
        <v>3.5</v>
      </c>
      <c r="K149" s="34">
        <v>3.5</v>
      </c>
      <c r="L149" s="34">
        <v>3.5</v>
      </c>
      <c r="M149" s="34">
        <v>3.5</v>
      </c>
      <c r="N149" s="34">
        <v>3.5</v>
      </c>
      <c r="O149" s="42">
        <v>4.9000000000000004</v>
      </c>
      <c r="P149" s="65"/>
      <c r="Q149" s="59">
        <v>3.9</v>
      </c>
      <c r="R149" s="60" t="e">
        <f t="shared" si="17"/>
        <v>#VALUE!</v>
      </c>
      <c r="S149" s="58" t="s">
        <v>481</v>
      </c>
    </row>
    <row r="150" spans="1:19" x14ac:dyDescent="0.3">
      <c r="A150" s="86" t="s">
        <v>213</v>
      </c>
      <c r="B150" s="86" t="s">
        <v>245</v>
      </c>
      <c r="C150" s="86" t="s">
        <v>8</v>
      </c>
      <c r="D150" s="28" t="s">
        <v>272</v>
      </c>
      <c r="E150" t="s">
        <v>273</v>
      </c>
      <c r="F150" s="11">
        <f t="shared" si="19"/>
        <v>10.9</v>
      </c>
      <c r="G150" s="47">
        <v>10.9</v>
      </c>
      <c r="H150" s="52">
        <f t="shared" si="16"/>
        <v>1</v>
      </c>
      <c r="I150" s="36">
        <v>10.9</v>
      </c>
      <c r="J150" s="34"/>
      <c r="K150" s="34"/>
      <c r="L150" s="34"/>
      <c r="M150" s="34"/>
      <c r="N150" s="34"/>
      <c r="O150" s="42">
        <v>12.9</v>
      </c>
      <c r="P150" s="65"/>
      <c r="Q150" s="59">
        <v>11.9</v>
      </c>
      <c r="R150" s="60" t="e">
        <f t="shared" si="17"/>
        <v>#VALUE!</v>
      </c>
      <c r="S150" s="58" t="s">
        <v>481</v>
      </c>
    </row>
    <row r="151" spans="1:19" x14ac:dyDescent="0.3">
      <c r="A151" s="86" t="s">
        <v>213</v>
      </c>
      <c r="B151" s="86" t="s">
        <v>245</v>
      </c>
      <c r="C151" s="86" t="s">
        <v>8</v>
      </c>
      <c r="D151" s="28" t="s">
        <v>274</v>
      </c>
      <c r="E151" t="s">
        <v>275</v>
      </c>
      <c r="F151" s="11">
        <v>3.9</v>
      </c>
      <c r="G151" s="47">
        <v>3.5</v>
      </c>
      <c r="H151" s="52">
        <f t="shared" si="16"/>
        <v>1</v>
      </c>
      <c r="I151" s="36">
        <v>3.5</v>
      </c>
      <c r="J151" s="34"/>
      <c r="K151" s="34"/>
      <c r="L151" s="34"/>
      <c r="M151" s="34"/>
      <c r="N151" s="34"/>
      <c r="O151" s="42">
        <v>3.9</v>
      </c>
      <c r="P151" s="65"/>
      <c r="Q151" s="59">
        <v>4.5999999999999996</v>
      </c>
      <c r="R151" s="60" t="e">
        <f t="shared" si="17"/>
        <v>#VALUE!</v>
      </c>
      <c r="S151" s="58" t="s">
        <v>481</v>
      </c>
    </row>
    <row r="152" spans="1:19" x14ac:dyDescent="0.3">
      <c r="A152" s="86" t="s">
        <v>213</v>
      </c>
      <c r="B152" s="86" t="s">
        <v>245</v>
      </c>
      <c r="C152" s="86" t="s">
        <v>8</v>
      </c>
      <c r="D152" s="28" t="s">
        <v>276</v>
      </c>
      <c r="E152" t="s">
        <v>277</v>
      </c>
      <c r="F152" s="11">
        <v>3</v>
      </c>
      <c r="G152" s="47">
        <v>3.5</v>
      </c>
      <c r="H152" s="52">
        <f t="shared" si="16"/>
        <v>1</v>
      </c>
      <c r="I152" s="36">
        <v>3.5</v>
      </c>
      <c r="J152" s="34"/>
      <c r="K152" s="34"/>
      <c r="L152" s="34"/>
      <c r="M152" s="34"/>
      <c r="N152" s="34"/>
      <c r="O152" s="42">
        <v>3.9</v>
      </c>
      <c r="P152" s="65"/>
      <c r="Q152" s="59">
        <v>3.9</v>
      </c>
      <c r="R152" s="60" t="e">
        <f t="shared" si="17"/>
        <v>#VALUE!</v>
      </c>
      <c r="S152" s="58" t="s">
        <v>481</v>
      </c>
    </row>
    <row r="153" spans="1:19" x14ac:dyDescent="0.3">
      <c r="A153" s="86" t="s">
        <v>213</v>
      </c>
      <c r="B153" s="86" t="s">
        <v>245</v>
      </c>
      <c r="C153" s="86" t="s">
        <v>8</v>
      </c>
      <c r="D153" s="28" t="s">
        <v>278</v>
      </c>
      <c r="E153" t="s">
        <v>279</v>
      </c>
      <c r="F153" s="11">
        <v>3.9</v>
      </c>
      <c r="G153" s="47">
        <v>3.5</v>
      </c>
      <c r="H153" s="52">
        <f t="shared" si="16"/>
        <v>1</v>
      </c>
      <c r="I153" s="36">
        <v>3.5</v>
      </c>
      <c r="J153" s="34"/>
      <c r="K153" s="34"/>
      <c r="L153" s="34"/>
      <c r="M153" s="34"/>
      <c r="N153" s="34"/>
      <c r="O153" s="42">
        <v>3.9</v>
      </c>
      <c r="P153" s="65"/>
      <c r="Q153" s="59">
        <v>3.9</v>
      </c>
      <c r="R153" s="60" t="e">
        <f t="shared" si="17"/>
        <v>#VALUE!</v>
      </c>
      <c r="S153" s="58" t="s">
        <v>481</v>
      </c>
    </row>
    <row r="154" spans="1:19" x14ac:dyDescent="0.3">
      <c r="A154" s="86" t="s">
        <v>213</v>
      </c>
      <c r="B154" s="86" t="s">
        <v>245</v>
      </c>
      <c r="C154" s="86" t="s">
        <v>8</v>
      </c>
      <c r="D154" s="28" t="s">
        <v>280</v>
      </c>
      <c r="E154" t="s">
        <v>281</v>
      </c>
      <c r="F154" s="11">
        <v>3</v>
      </c>
      <c r="G154" s="47">
        <v>3.5</v>
      </c>
      <c r="H154" s="52">
        <f t="shared" si="16"/>
        <v>1</v>
      </c>
      <c r="I154" s="36">
        <v>3.5</v>
      </c>
      <c r="J154" s="34"/>
      <c r="K154" s="34"/>
      <c r="L154" s="34"/>
      <c r="M154" s="34"/>
      <c r="N154" s="34"/>
      <c r="O154" s="42">
        <v>3.9</v>
      </c>
      <c r="P154" s="65"/>
      <c r="Q154" s="59">
        <v>3.9</v>
      </c>
      <c r="R154" s="60" t="e">
        <f t="shared" si="17"/>
        <v>#VALUE!</v>
      </c>
      <c r="S154" s="58" t="s">
        <v>481</v>
      </c>
    </row>
    <row r="155" spans="1:19" x14ac:dyDescent="0.3">
      <c r="A155" s="86" t="s">
        <v>213</v>
      </c>
      <c r="B155" s="86" t="s">
        <v>245</v>
      </c>
      <c r="C155" s="86" t="s">
        <v>8</v>
      </c>
      <c r="D155" s="28" t="s">
        <v>282</v>
      </c>
      <c r="E155" t="s">
        <v>283</v>
      </c>
      <c r="F155" s="11">
        <v>3</v>
      </c>
      <c r="G155" s="47">
        <v>3.5</v>
      </c>
      <c r="H155" s="52">
        <f t="shared" si="16"/>
        <v>1</v>
      </c>
      <c r="I155" s="36">
        <v>3.5</v>
      </c>
      <c r="J155" s="34"/>
      <c r="K155" s="34"/>
      <c r="L155" s="34"/>
      <c r="M155" s="34"/>
      <c r="N155" s="34"/>
      <c r="O155" s="42">
        <v>3.9</v>
      </c>
      <c r="P155" s="65"/>
      <c r="Q155" s="59">
        <v>3.9</v>
      </c>
      <c r="R155" s="60" t="e">
        <f t="shared" si="17"/>
        <v>#VALUE!</v>
      </c>
      <c r="S155" s="58" t="s">
        <v>481</v>
      </c>
    </row>
    <row r="156" spans="1:19" x14ac:dyDescent="0.3">
      <c r="A156" s="86" t="s">
        <v>213</v>
      </c>
      <c r="B156" s="86" t="s">
        <v>245</v>
      </c>
      <c r="C156" s="86" t="s">
        <v>8</v>
      </c>
      <c r="D156" s="28" t="s">
        <v>284</v>
      </c>
      <c r="E156" t="s">
        <v>285</v>
      </c>
      <c r="F156" s="11">
        <v>3</v>
      </c>
      <c r="G156" s="47">
        <v>3.5</v>
      </c>
      <c r="H156" s="52">
        <f t="shared" si="16"/>
        <v>1</v>
      </c>
      <c r="I156" s="36">
        <v>3.5</v>
      </c>
      <c r="J156" s="34"/>
      <c r="K156" s="34"/>
      <c r="L156" s="34"/>
      <c r="M156" s="34"/>
      <c r="N156" s="34"/>
      <c r="O156" s="42">
        <v>3.9</v>
      </c>
      <c r="P156" s="65"/>
      <c r="Q156" s="59">
        <v>4.5</v>
      </c>
      <c r="R156" s="60" t="e">
        <f t="shared" si="17"/>
        <v>#VALUE!</v>
      </c>
      <c r="S156" s="58" t="s">
        <v>481</v>
      </c>
    </row>
    <row r="157" spans="1:19" x14ac:dyDescent="0.3">
      <c r="A157" s="86" t="s">
        <v>213</v>
      </c>
      <c r="B157" s="86" t="s">
        <v>245</v>
      </c>
      <c r="C157" s="86" t="s">
        <v>8</v>
      </c>
      <c r="D157" s="28" t="s">
        <v>286</v>
      </c>
      <c r="E157" t="s">
        <v>287</v>
      </c>
      <c r="F157" s="11">
        <v>3</v>
      </c>
      <c r="G157" s="47">
        <v>3.5</v>
      </c>
      <c r="H157" s="52">
        <f t="shared" si="16"/>
        <v>1</v>
      </c>
      <c r="I157" s="36">
        <v>3.5</v>
      </c>
      <c r="J157" s="34"/>
      <c r="K157" s="34"/>
      <c r="L157" s="34"/>
      <c r="M157" s="34"/>
      <c r="N157" s="34"/>
      <c r="O157" s="42">
        <v>3.9</v>
      </c>
      <c r="P157" s="65"/>
      <c r="Q157" s="59">
        <v>4.5</v>
      </c>
      <c r="R157" s="60" t="e">
        <f t="shared" si="17"/>
        <v>#VALUE!</v>
      </c>
      <c r="S157" s="58" t="s">
        <v>481</v>
      </c>
    </row>
    <row r="158" spans="1:19" x14ac:dyDescent="0.3">
      <c r="A158" s="86" t="s">
        <v>213</v>
      </c>
      <c r="B158" s="86" t="s">
        <v>245</v>
      </c>
      <c r="C158" s="86" t="s">
        <v>8</v>
      </c>
      <c r="D158" s="28" t="s">
        <v>288</v>
      </c>
      <c r="E158" t="s">
        <v>289</v>
      </c>
      <c r="F158" s="11">
        <f t="shared" si="19"/>
        <v>3.9</v>
      </c>
      <c r="G158" s="47">
        <v>3.5</v>
      </c>
      <c r="H158" s="52">
        <f t="shared" si="16"/>
        <v>0.89743589743589747</v>
      </c>
      <c r="I158" s="36">
        <v>3.9</v>
      </c>
      <c r="J158" s="34"/>
      <c r="K158" s="34"/>
      <c r="L158" s="34"/>
      <c r="M158" s="34"/>
      <c r="N158" s="34"/>
      <c r="O158" s="42">
        <v>3.9</v>
      </c>
      <c r="P158" s="65"/>
      <c r="Q158" s="59">
        <v>4.5</v>
      </c>
      <c r="R158" s="60" t="e">
        <f t="shared" si="17"/>
        <v>#VALUE!</v>
      </c>
      <c r="S158" s="58" t="s">
        <v>481</v>
      </c>
    </row>
    <row r="159" spans="1:19" x14ac:dyDescent="0.3">
      <c r="A159" s="86" t="s">
        <v>213</v>
      </c>
      <c r="B159" s="86" t="s">
        <v>245</v>
      </c>
      <c r="C159" s="86" t="s">
        <v>8</v>
      </c>
      <c r="D159" s="28" t="s">
        <v>290</v>
      </c>
      <c r="E159" t="s">
        <v>291</v>
      </c>
      <c r="F159" s="11">
        <f t="shared" si="19"/>
        <v>3.9</v>
      </c>
      <c r="G159" s="47">
        <v>3.5</v>
      </c>
      <c r="H159" s="52">
        <f t="shared" si="16"/>
        <v>0.89743589743589747</v>
      </c>
      <c r="I159" s="36">
        <v>3.9</v>
      </c>
      <c r="J159" s="34"/>
      <c r="K159" s="34"/>
      <c r="L159" s="34"/>
      <c r="M159" s="34"/>
      <c r="N159" s="34"/>
      <c r="O159" s="42">
        <v>3.9</v>
      </c>
      <c r="P159" s="65">
        <f t="shared" si="18"/>
        <v>1.95</v>
      </c>
      <c r="Q159" s="59">
        <v>4.5</v>
      </c>
      <c r="R159" s="60">
        <f t="shared" si="17"/>
        <v>2.25</v>
      </c>
      <c r="S159" s="58">
        <v>2</v>
      </c>
    </row>
    <row r="160" spans="1:19" x14ac:dyDescent="0.3">
      <c r="A160" s="86" t="s">
        <v>213</v>
      </c>
      <c r="B160" s="86" t="s">
        <v>245</v>
      </c>
      <c r="C160" s="86" t="s">
        <v>8</v>
      </c>
      <c r="D160" s="28" t="s">
        <v>292</v>
      </c>
      <c r="E160" t="s">
        <v>293</v>
      </c>
      <c r="F160" s="11">
        <f t="shared" si="19"/>
        <v>3.9</v>
      </c>
      <c r="G160" s="47">
        <v>3.9</v>
      </c>
      <c r="H160" s="52">
        <f t="shared" si="16"/>
        <v>1</v>
      </c>
      <c r="I160" s="36">
        <v>3.9</v>
      </c>
      <c r="J160" s="34"/>
      <c r="K160" s="34"/>
      <c r="L160" s="34"/>
      <c r="M160" s="34"/>
      <c r="N160" s="34"/>
      <c r="O160" s="42">
        <v>3.9</v>
      </c>
      <c r="P160" s="65">
        <f t="shared" si="18"/>
        <v>1.95</v>
      </c>
      <c r="Q160" s="59">
        <v>4.5</v>
      </c>
      <c r="R160" s="60">
        <f t="shared" si="17"/>
        <v>2.25</v>
      </c>
      <c r="S160" s="58">
        <v>2</v>
      </c>
    </row>
    <row r="161" spans="1:19" x14ac:dyDescent="0.3">
      <c r="A161" s="86" t="s">
        <v>213</v>
      </c>
      <c r="B161" s="86" t="s">
        <v>245</v>
      </c>
      <c r="C161" s="86" t="s">
        <v>8</v>
      </c>
      <c r="D161" s="28" t="s">
        <v>294</v>
      </c>
      <c r="E161" t="s">
        <v>295</v>
      </c>
      <c r="F161" s="11">
        <f t="shared" si="19"/>
        <v>2.5</v>
      </c>
      <c r="G161" s="47">
        <v>2.5</v>
      </c>
      <c r="H161" s="52">
        <f t="shared" si="16"/>
        <v>1</v>
      </c>
      <c r="I161" s="36">
        <v>2.5</v>
      </c>
      <c r="J161" s="34"/>
      <c r="K161" s="34"/>
      <c r="L161" s="34"/>
      <c r="M161" s="34"/>
      <c r="N161" s="34"/>
      <c r="O161" s="42">
        <v>3.9</v>
      </c>
      <c r="P161" s="65">
        <f t="shared" si="18"/>
        <v>1.95</v>
      </c>
      <c r="Q161" s="59">
        <v>3.9</v>
      </c>
      <c r="R161" s="60">
        <f t="shared" si="17"/>
        <v>1.95</v>
      </c>
      <c r="S161" s="58">
        <v>2</v>
      </c>
    </row>
    <row r="162" spans="1:19" x14ac:dyDescent="0.3">
      <c r="A162" s="86" t="s">
        <v>213</v>
      </c>
      <c r="B162" s="86" t="s">
        <v>296</v>
      </c>
      <c r="C162" s="86" t="s">
        <v>8</v>
      </c>
      <c r="D162" s="28" t="s">
        <v>297</v>
      </c>
      <c r="E162" t="s">
        <v>298</v>
      </c>
      <c r="F162" s="11">
        <v>3.9</v>
      </c>
      <c r="G162" s="47">
        <v>3.9</v>
      </c>
      <c r="H162" s="52">
        <f t="shared" si="16"/>
        <v>1</v>
      </c>
      <c r="I162" s="36">
        <v>3.9</v>
      </c>
      <c r="J162" s="34">
        <v>3.5</v>
      </c>
      <c r="K162" s="34">
        <v>3.5</v>
      </c>
      <c r="L162" s="34">
        <v>3.5</v>
      </c>
      <c r="M162" s="34">
        <v>3.5</v>
      </c>
      <c r="N162" s="34">
        <v>3.5</v>
      </c>
      <c r="O162" s="42">
        <v>4.5</v>
      </c>
      <c r="P162" s="65">
        <f t="shared" si="18"/>
        <v>2.25</v>
      </c>
      <c r="Q162" s="59">
        <v>4.5</v>
      </c>
      <c r="R162" s="60">
        <f t="shared" si="17"/>
        <v>2.25</v>
      </c>
      <c r="S162" s="58">
        <v>2</v>
      </c>
    </row>
    <row r="163" spans="1:19" x14ac:dyDescent="0.3">
      <c r="A163" s="86" t="s">
        <v>213</v>
      </c>
      <c r="B163" s="86" t="s">
        <v>296</v>
      </c>
      <c r="C163" s="86" t="s">
        <v>8</v>
      </c>
      <c r="D163" s="28" t="s">
        <v>299</v>
      </c>
      <c r="E163" t="s">
        <v>300</v>
      </c>
      <c r="F163" s="11">
        <v>3.9</v>
      </c>
      <c r="G163" s="47">
        <v>3.9</v>
      </c>
      <c r="H163" s="52">
        <f t="shared" si="16"/>
        <v>1</v>
      </c>
      <c r="I163" s="36">
        <v>3.9</v>
      </c>
      <c r="J163" s="34">
        <v>3.5</v>
      </c>
      <c r="K163" s="34">
        <v>3.5</v>
      </c>
      <c r="L163" s="34">
        <v>3.5</v>
      </c>
      <c r="M163" s="34">
        <v>3.5</v>
      </c>
      <c r="N163" s="34">
        <v>3.5</v>
      </c>
      <c r="O163" s="42">
        <v>4.5</v>
      </c>
      <c r="P163" s="65">
        <f t="shared" si="18"/>
        <v>2.25</v>
      </c>
      <c r="Q163" s="59">
        <v>4.5</v>
      </c>
      <c r="R163" s="60">
        <f t="shared" si="17"/>
        <v>2.25</v>
      </c>
      <c r="S163" s="58">
        <v>2</v>
      </c>
    </row>
    <row r="164" spans="1:19" x14ac:dyDescent="0.3">
      <c r="A164" s="86" t="s">
        <v>213</v>
      </c>
      <c r="B164" s="86" t="s">
        <v>296</v>
      </c>
      <c r="C164" s="86" t="s">
        <v>8</v>
      </c>
      <c r="D164" s="28" t="s">
        <v>301</v>
      </c>
      <c r="E164" t="s">
        <v>302</v>
      </c>
      <c r="F164" s="11">
        <v>3.9</v>
      </c>
      <c r="G164" s="47">
        <v>3.5</v>
      </c>
      <c r="H164" s="52">
        <f t="shared" si="16"/>
        <v>1</v>
      </c>
      <c r="I164" s="36">
        <v>3.5</v>
      </c>
      <c r="J164" s="34"/>
      <c r="K164" s="34"/>
      <c r="L164" s="34"/>
      <c r="M164" s="34"/>
      <c r="N164" s="34"/>
      <c r="O164" s="42">
        <v>4.5</v>
      </c>
      <c r="P164" s="65">
        <f t="shared" si="18"/>
        <v>1.5</v>
      </c>
      <c r="Q164" s="59">
        <v>4.5</v>
      </c>
      <c r="R164" s="60">
        <f t="shared" si="17"/>
        <v>1.5</v>
      </c>
      <c r="S164" s="58">
        <v>3</v>
      </c>
    </row>
    <row r="165" spans="1:19" x14ac:dyDescent="0.3">
      <c r="A165" s="86" t="s">
        <v>213</v>
      </c>
      <c r="B165" s="86" t="s">
        <v>296</v>
      </c>
      <c r="C165" s="86" t="s">
        <v>8</v>
      </c>
      <c r="D165" s="28" t="s">
        <v>303</v>
      </c>
      <c r="E165" t="s">
        <v>304</v>
      </c>
      <c r="F165" s="11">
        <v>3.9</v>
      </c>
      <c r="G165" s="47">
        <v>3.5</v>
      </c>
      <c r="H165" s="52">
        <f t="shared" si="16"/>
        <v>1</v>
      </c>
      <c r="I165" s="36">
        <v>3.5</v>
      </c>
      <c r="J165" s="34"/>
      <c r="K165" s="34"/>
      <c r="L165" s="34"/>
      <c r="M165" s="34"/>
      <c r="N165" s="34"/>
      <c r="O165" s="42">
        <v>4.5</v>
      </c>
      <c r="P165" s="65">
        <f t="shared" si="18"/>
        <v>2.25</v>
      </c>
      <c r="Q165" s="59">
        <v>4.5</v>
      </c>
      <c r="R165" s="60">
        <f t="shared" si="17"/>
        <v>2.25</v>
      </c>
      <c r="S165" s="58">
        <v>2</v>
      </c>
    </row>
    <row r="166" spans="1:19" x14ac:dyDescent="0.3">
      <c r="A166" s="86" t="s">
        <v>213</v>
      </c>
      <c r="B166" s="86" t="s">
        <v>296</v>
      </c>
      <c r="C166" s="86" t="s">
        <v>8</v>
      </c>
      <c r="D166" s="28" t="s">
        <v>305</v>
      </c>
      <c r="E166" t="s">
        <v>306</v>
      </c>
      <c r="F166" s="11">
        <v>3.9</v>
      </c>
      <c r="G166" s="47">
        <v>3.9</v>
      </c>
      <c r="H166" s="52">
        <f t="shared" si="16"/>
        <v>1</v>
      </c>
      <c r="I166" s="36">
        <v>3.9</v>
      </c>
      <c r="J166" s="34">
        <v>3.5</v>
      </c>
      <c r="K166" s="34">
        <v>3.5</v>
      </c>
      <c r="L166" s="34">
        <v>3.5</v>
      </c>
      <c r="M166" s="34">
        <v>3.5</v>
      </c>
      <c r="N166" s="34">
        <v>3.5</v>
      </c>
      <c r="O166" s="42">
        <v>4.5</v>
      </c>
      <c r="P166" s="65">
        <f t="shared" si="18"/>
        <v>2.25</v>
      </c>
      <c r="Q166" s="59">
        <v>4.5</v>
      </c>
      <c r="R166" s="60">
        <f t="shared" si="17"/>
        <v>2.25</v>
      </c>
      <c r="S166" s="58">
        <v>2</v>
      </c>
    </row>
    <row r="167" spans="1:19" x14ac:dyDescent="0.3">
      <c r="A167" s="86" t="s">
        <v>213</v>
      </c>
      <c r="B167" s="86" t="s">
        <v>307</v>
      </c>
      <c r="C167" s="86" t="s">
        <v>8</v>
      </c>
      <c r="D167" s="28" t="s">
        <v>308</v>
      </c>
      <c r="E167" t="s">
        <v>309</v>
      </c>
      <c r="F167" s="11">
        <v>18.899999999999999</v>
      </c>
      <c r="G167" s="47">
        <v>18.899999999999999</v>
      </c>
      <c r="H167" s="52">
        <f t="shared" si="16"/>
        <v>1</v>
      </c>
      <c r="I167" s="36">
        <v>18.899999999999999</v>
      </c>
      <c r="J167" s="34">
        <v>17.899999999999999</v>
      </c>
      <c r="K167" s="34">
        <v>17.899999999999999</v>
      </c>
      <c r="L167" s="34">
        <v>17.899999999999999</v>
      </c>
      <c r="M167" s="34">
        <v>17.899999999999999</v>
      </c>
      <c r="N167" s="34">
        <v>17.899999999999999</v>
      </c>
      <c r="O167" s="42">
        <v>22.9</v>
      </c>
      <c r="P167" s="65"/>
      <c r="Q167" s="59">
        <v>20.9</v>
      </c>
      <c r="R167" s="60" t="e">
        <f t="shared" si="17"/>
        <v>#VALUE!</v>
      </c>
      <c r="S167" s="58" t="s">
        <v>481</v>
      </c>
    </row>
    <row r="168" spans="1:19" x14ac:dyDescent="0.3">
      <c r="A168" s="86" t="s">
        <v>213</v>
      </c>
      <c r="B168" s="86" t="s">
        <v>307</v>
      </c>
      <c r="C168" s="86" t="s">
        <v>8</v>
      </c>
      <c r="D168" s="28" t="s">
        <v>310</v>
      </c>
      <c r="E168" t="s">
        <v>311</v>
      </c>
      <c r="F168" s="11">
        <v>15.9</v>
      </c>
      <c r="G168" s="47">
        <v>15.9</v>
      </c>
      <c r="H168" s="52">
        <f t="shared" si="16"/>
        <v>1</v>
      </c>
      <c r="I168" s="36">
        <v>15.9</v>
      </c>
      <c r="J168" s="34">
        <v>15</v>
      </c>
      <c r="K168" s="34">
        <v>15</v>
      </c>
      <c r="L168" s="34">
        <v>15</v>
      </c>
      <c r="M168" s="34">
        <v>15</v>
      </c>
      <c r="N168" s="34">
        <v>15</v>
      </c>
      <c r="O168" s="42">
        <v>18.899999999999999</v>
      </c>
      <c r="P168" s="65">
        <f t="shared" si="18"/>
        <v>1.1819887429643525</v>
      </c>
      <c r="Q168" s="59">
        <v>18.899999999999999</v>
      </c>
      <c r="R168" s="60">
        <f t="shared" si="17"/>
        <v>1.1819887429643525</v>
      </c>
      <c r="S168" s="58">
        <v>15.99</v>
      </c>
    </row>
    <row r="169" spans="1:19" x14ac:dyDescent="0.3">
      <c r="A169" s="86" t="s">
        <v>213</v>
      </c>
      <c r="B169" s="86" t="s">
        <v>307</v>
      </c>
      <c r="C169" s="86" t="s">
        <v>8</v>
      </c>
      <c r="D169" s="28" t="s">
        <v>312</v>
      </c>
      <c r="E169" t="s">
        <v>313</v>
      </c>
      <c r="F169" s="11">
        <v>13.9</v>
      </c>
      <c r="G169" s="47">
        <v>13.9</v>
      </c>
      <c r="H169" s="52">
        <f t="shared" si="16"/>
        <v>1</v>
      </c>
      <c r="I169" s="36">
        <v>13.9</v>
      </c>
      <c r="J169" s="34">
        <v>12.9</v>
      </c>
      <c r="K169" s="34">
        <v>12.9</v>
      </c>
      <c r="L169" s="34">
        <v>12.9</v>
      </c>
      <c r="M169" s="34">
        <v>12.9</v>
      </c>
      <c r="N169" s="34">
        <v>12.9</v>
      </c>
      <c r="O169" s="42">
        <v>16.899999999999999</v>
      </c>
      <c r="P169" s="65"/>
      <c r="Q169" s="59">
        <v>16.399999999999999</v>
      </c>
      <c r="R169" s="60"/>
      <c r="S169" s="58" t="s">
        <v>481</v>
      </c>
    </row>
    <row r="170" spans="1:19" x14ac:dyDescent="0.3">
      <c r="A170" s="86" t="s">
        <v>213</v>
      </c>
      <c r="B170" s="86" t="s">
        <v>314</v>
      </c>
      <c r="C170" s="86" t="s">
        <v>8</v>
      </c>
      <c r="D170" s="28" t="s">
        <v>315</v>
      </c>
      <c r="E170" t="s">
        <v>316</v>
      </c>
      <c r="F170" s="11">
        <f>I170</f>
        <v>3.9</v>
      </c>
      <c r="G170" s="47">
        <v>3.9</v>
      </c>
      <c r="H170" s="52">
        <f t="shared" si="16"/>
        <v>1</v>
      </c>
      <c r="I170" s="36">
        <v>3.9</v>
      </c>
      <c r="J170" s="34"/>
      <c r="K170" s="34"/>
      <c r="L170" s="34"/>
      <c r="M170" s="34"/>
      <c r="N170" s="34"/>
      <c r="O170" s="42">
        <v>4.5</v>
      </c>
      <c r="P170" s="65"/>
      <c r="Q170" s="59">
        <v>4.5</v>
      </c>
      <c r="R170" s="60"/>
      <c r="S170" s="58" t="s">
        <v>481</v>
      </c>
    </row>
    <row r="171" spans="1:19" x14ac:dyDescent="0.3">
      <c r="A171" s="86" t="s">
        <v>213</v>
      </c>
      <c r="B171" s="86" t="s">
        <v>314</v>
      </c>
      <c r="C171" s="86" t="s">
        <v>8</v>
      </c>
      <c r="D171" s="28" t="s">
        <v>317</v>
      </c>
      <c r="E171" t="s">
        <v>318</v>
      </c>
      <c r="F171" s="11">
        <f t="shared" ref="F171:F184" si="20">I171</f>
        <v>3.9</v>
      </c>
      <c r="G171" s="47">
        <v>3.9</v>
      </c>
      <c r="H171" s="52">
        <f t="shared" si="16"/>
        <v>1</v>
      </c>
      <c r="I171" s="36">
        <v>3.9</v>
      </c>
      <c r="J171" s="34"/>
      <c r="K171" s="34"/>
      <c r="L171" s="34"/>
      <c r="M171" s="34"/>
      <c r="N171" s="34"/>
      <c r="O171" s="42">
        <v>4.5</v>
      </c>
      <c r="P171" s="65"/>
      <c r="Q171" s="59">
        <v>4.5</v>
      </c>
      <c r="R171" s="60"/>
      <c r="S171" s="58" t="s">
        <v>481</v>
      </c>
    </row>
    <row r="172" spans="1:19" x14ac:dyDescent="0.3">
      <c r="A172" s="86" t="s">
        <v>213</v>
      </c>
      <c r="B172" s="86" t="s">
        <v>314</v>
      </c>
      <c r="C172" s="86" t="s">
        <v>8</v>
      </c>
      <c r="D172" s="28" t="s">
        <v>319</v>
      </c>
      <c r="E172" t="s">
        <v>320</v>
      </c>
      <c r="F172" s="11">
        <f t="shared" si="20"/>
        <v>3.5</v>
      </c>
      <c r="G172" s="47">
        <v>3.5</v>
      </c>
      <c r="H172" s="52">
        <f t="shared" si="16"/>
        <v>1</v>
      </c>
      <c r="I172" s="36">
        <v>3.5</v>
      </c>
      <c r="J172" s="34"/>
      <c r="K172" s="34"/>
      <c r="L172" s="34"/>
      <c r="M172" s="34"/>
      <c r="N172" s="34"/>
      <c r="O172" s="42">
        <v>4.5</v>
      </c>
      <c r="P172" s="65"/>
      <c r="Q172" s="59">
        <v>4.0999999999999996</v>
      </c>
      <c r="R172" s="60"/>
      <c r="S172" s="58" t="s">
        <v>481</v>
      </c>
    </row>
    <row r="173" spans="1:19" x14ac:dyDescent="0.3">
      <c r="A173" s="86" t="s">
        <v>213</v>
      </c>
      <c r="B173" s="86" t="s">
        <v>314</v>
      </c>
      <c r="C173" s="86" t="s">
        <v>8</v>
      </c>
      <c r="D173" s="28" t="s">
        <v>321</v>
      </c>
      <c r="E173" t="s">
        <v>322</v>
      </c>
      <c r="F173" s="11">
        <f t="shared" si="20"/>
        <v>3.5</v>
      </c>
      <c r="G173" s="47">
        <v>3.5</v>
      </c>
      <c r="H173" s="52">
        <f t="shared" si="16"/>
        <v>1</v>
      </c>
      <c r="I173" s="36">
        <v>3.5</v>
      </c>
      <c r="J173" s="34"/>
      <c r="K173" s="34"/>
      <c r="L173" s="34"/>
      <c r="M173" s="34"/>
      <c r="N173" s="34"/>
      <c r="O173" s="42">
        <v>4.5</v>
      </c>
      <c r="P173" s="65"/>
      <c r="Q173" s="59">
        <v>4.0999999999999996</v>
      </c>
      <c r="R173" s="60"/>
      <c r="S173" s="58" t="s">
        <v>481</v>
      </c>
    </row>
    <row r="174" spans="1:19" x14ac:dyDescent="0.3">
      <c r="A174" s="86" t="s">
        <v>213</v>
      </c>
      <c r="B174" s="86" t="s">
        <v>314</v>
      </c>
      <c r="C174" s="86" t="s">
        <v>8</v>
      </c>
      <c r="D174" s="28" t="s">
        <v>323</v>
      </c>
      <c r="E174" t="s">
        <v>324</v>
      </c>
      <c r="F174" s="11">
        <f t="shared" si="20"/>
        <v>3.5</v>
      </c>
      <c r="G174" s="47">
        <v>3.5</v>
      </c>
      <c r="H174" s="52">
        <f t="shared" si="16"/>
        <v>1</v>
      </c>
      <c r="I174" s="36">
        <v>3.5</v>
      </c>
      <c r="J174" s="34"/>
      <c r="K174" s="34"/>
      <c r="L174" s="34"/>
      <c r="M174" s="34"/>
      <c r="N174" s="34"/>
      <c r="O174" s="42">
        <v>4.5</v>
      </c>
      <c r="P174" s="65"/>
      <c r="Q174" s="59">
        <v>4.0999999999999996</v>
      </c>
      <c r="R174" s="60"/>
      <c r="S174" s="58" t="s">
        <v>481</v>
      </c>
    </row>
    <row r="175" spans="1:19" x14ac:dyDescent="0.3">
      <c r="A175" s="86" t="s">
        <v>213</v>
      </c>
      <c r="B175" s="86" t="s">
        <v>314</v>
      </c>
      <c r="C175" s="86" t="s">
        <v>8</v>
      </c>
      <c r="D175" s="28" t="s">
        <v>325</v>
      </c>
      <c r="E175" t="s">
        <v>326</v>
      </c>
      <c r="F175" s="11">
        <f t="shared" si="20"/>
        <v>3.5</v>
      </c>
      <c r="G175" s="47">
        <v>3.5</v>
      </c>
      <c r="H175" s="52">
        <f t="shared" si="16"/>
        <v>1</v>
      </c>
      <c r="I175" s="36">
        <v>3.5</v>
      </c>
      <c r="J175" s="34"/>
      <c r="K175" s="34"/>
      <c r="L175" s="34"/>
      <c r="M175" s="34"/>
      <c r="N175" s="34"/>
      <c r="O175" s="42">
        <v>4.5</v>
      </c>
      <c r="P175" s="65"/>
      <c r="Q175" s="59">
        <v>4.0999999999999996</v>
      </c>
      <c r="R175" s="60"/>
      <c r="S175" s="58" t="s">
        <v>481</v>
      </c>
    </row>
    <row r="176" spans="1:19" x14ac:dyDescent="0.3">
      <c r="A176" s="86" t="s">
        <v>213</v>
      </c>
      <c r="B176" s="86" t="s">
        <v>314</v>
      </c>
      <c r="C176" s="86" t="s">
        <v>8</v>
      </c>
      <c r="D176" s="28" t="s">
        <v>327</v>
      </c>
      <c r="E176" t="s">
        <v>328</v>
      </c>
      <c r="F176" s="11">
        <f t="shared" si="20"/>
        <v>4.5</v>
      </c>
      <c r="G176" s="47">
        <v>4.5</v>
      </c>
      <c r="H176" s="52">
        <f t="shared" si="16"/>
        <v>1</v>
      </c>
      <c r="I176" s="36">
        <v>4.5</v>
      </c>
      <c r="J176" s="34"/>
      <c r="K176" s="34"/>
      <c r="L176" s="34"/>
      <c r="M176" s="34"/>
      <c r="N176" s="34"/>
      <c r="O176" s="42">
        <v>5.9</v>
      </c>
      <c r="P176" s="65"/>
      <c r="Q176" s="59">
        <v>5.9</v>
      </c>
      <c r="R176" s="60"/>
      <c r="S176" s="58" t="s">
        <v>481</v>
      </c>
    </row>
    <row r="177" spans="1:19" x14ac:dyDescent="0.3">
      <c r="A177" s="86" t="s">
        <v>213</v>
      </c>
      <c r="B177" s="86" t="s">
        <v>314</v>
      </c>
      <c r="C177" s="86" t="s">
        <v>8</v>
      </c>
      <c r="D177" s="28" t="s">
        <v>329</v>
      </c>
      <c r="E177" t="s">
        <v>330</v>
      </c>
      <c r="F177" s="11">
        <f t="shared" si="20"/>
        <v>3.5</v>
      </c>
      <c r="G177" s="47">
        <v>3.5</v>
      </c>
      <c r="H177" s="52">
        <f t="shared" si="16"/>
        <v>1</v>
      </c>
      <c r="I177" s="36">
        <v>3.5</v>
      </c>
      <c r="J177" s="34"/>
      <c r="K177" s="34"/>
      <c r="L177" s="34"/>
      <c r="M177" s="34"/>
      <c r="N177" s="34"/>
      <c r="O177" s="42">
        <v>4.3</v>
      </c>
      <c r="P177" s="65"/>
      <c r="Q177" s="59">
        <v>4.0999999999999996</v>
      </c>
      <c r="R177" s="60"/>
      <c r="S177" s="58" t="s">
        <v>481</v>
      </c>
    </row>
    <row r="178" spans="1:19" x14ac:dyDescent="0.3">
      <c r="A178" s="86" t="s">
        <v>213</v>
      </c>
      <c r="B178" s="86" t="s">
        <v>314</v>
      </c>
      <c r="C178" s="86" t="s">
        <v>8</v>
      </c>
      <c r="D178" s="28" t="s">
        <v>331</v>
      </c>
      <c r="E178" t="s">
        <v>332</v>
      </c>
      <c r="F178" s="11">
        <f t="shared" si="20"/>
        <v>3.5</v>
      </c>
      <c r="G178" s="47">
        <v>3.5</v>
      </c>
      <c r="H178" s="52">
        <f t="shared" si="16"/>
        <v>1</v>
      </c>
      <c r="I178" s="36">
        <v>3.5</v>
      </c>
      <c r="J178" s="34"/>
      <c r="K178" s="34"/>
      <c r="L178" s="34"/>
      <c r="M178" s="34"/>
      <c r="N178" s="34"/>
      <c r="O178" s="42">
        <v>4.3</v>
      </c>
      <c r="P178" s="65"/>
      <c r="Q178" s="59">
        <v>4.0999999999999996</v>
      </c>
      <c r="R178" s="60"/>
      <c r="S178" s="58" t="s">
        <v>481</v>
      </c>
    </row>
    <row r="179" spans="1:19" x14ac:dyDescent="0.3">
      <c r="A179" s="86" t="s">
        <v>213</v>
      </c>
      <c r="B179" s="86" t="s">
        <v>314</v>
      </c>
      <c r="C179" s="86" t="s">
        <v>8</v>
      </c>
      <c r="D179" s="28" t="s">
        <v>333</v>
      </c>
      <c r="E179" t="s">
        <v>334</v>
      </c>
      <c r="F179" s="11">
        <v>4.5</v>
      </c>
      <c r="G179" s="47">
        <v>4.9000000000000004</v>
      </c>
      <c r="H179" s="52">
        <f t="shared" si="16"/>
        <v>1</v>
      </c>
      <c r="I179" s="36">
        <v>4.9000000000000004</v>
      </c>
      <c r="J179" s="34"/>
      <c r="K179" s="34"/>
      <c r="L179" s="34"/>
      <c r="M179" s="34"/>
      <c r="N179" s="34"/>
      <c r="O179" s="42">
        <v>5.9</v>
      </c>
      <c r="P179" s="65"/>
      <c r="Q179" s="59">
        <v>5.9</v>
      </c>
      <c r="R179" s="60"/>
      <c r="S179" s="58" t="s">
        <v>481</v>
      </c>
    </row>
    <row r="180" spans="1:19" x14ac:dyDescent="0.3">
      <c r="A180" s="86" t="s">
        <v>213</v>
      </c>
      <c r="B180" s="86" t="s">
        <v>314</v>
      </c>
      <c r="C180" s="86" t="s">
        <v>8</v>
      </c>
      <c r="D180" s="28" t="s">
        <v>335</v>
      </c>
      <c r="E180" t="s">
        <v>336</v>
      </c>
      <c r="F180" s="11">
        <f t="shared" si="20"/>
        <v>3.9</v>
      </c>
      <c r="G180" s="47">
        <v>3.9</v>
      </c>
      <c r="H180" s="52">
        <f t="shared" si="16"/>
        <v>1</v>
      </c>
      <c r="I180" s="36">
        <v>3.9</v>
      </c>
      <c r="J180" s="34"/>
      <c r="K180" s="34"/>
      <c r="L180" s="34"/>
      <c r="M180" s="34"/>
      <c r="N180" s="34"/>
      <c r="O180" s="42">
        <v>4.9000000000000004</v>
      </c>
      <c r="P180" s="65"/>
      <c r="Q180" s="59">
        <v>4.5999999999999996</v>
      </c>
      <c r="R180" s="60"/>
      <c r="S180" s="58" t="s">
        <v>481</v>
      </c>
    </row>
    <row r="181" spans="1:19" x14ac:dyDescent="0.3">
      <c r="A181" s="2" t="s">
        <v>337</v>
      </c>
      <c r="B181" s="2" t="s">
        <v>337</v>
      </c>
      <c r="C181" s="2" t="s">
        <v>3</v>
      </c>
      <c r="D181" s="28" t="s">
        <v>338</v>
      </c>
      <c r="E181" t="s">
        <v>339</v>
      </c>
      <c r="F181" s="11">
        <f t="shared" si="20"/>
        <v>25.9</v>
      </c>
      <c r="G181" s="47">
        <v>25.9</v>
      </c>
      <c r="H181" s="52">
        <f t="shared" si="16"/>
        <v>1</v>
      </c>
      <c r="I181" s="36">
        <v>25.9</v>
      </c>
      <c r="J181" s="34"/>
      <c r="K181" s="34"/>
      <c r="L181" s="34"/>
      <c r="M181" s="34"/>
      <c r="N181" s="34"/>
      <c r="O181" s="42">
        <v>29.9</v>
      </c>
      <c r="P181" s="65"/>
      <c r="Q181" s="59">
        <v>29.9</v>
      </c>
      <c r="R181" s="60"/>
      <c r="S181" s="58" t="s">
        <v>481</v>
      </c>
    </row>
    <row r="182" spans="1:19" x14ac:dyDescent="0.3">
      <c r="A182" s="86" t="s">
        <v>340</v>
      </c>
      <c r="B182" s="86" t="s">
        <v>341</v>
      </c>
      <c r="C182" s="86" t="s">
        <v>3</v>
      </c>
      <c r="D182" s="28" t="s">
        <v>342</v>
      </c>
      <c r="E182" t="s">
        <v>343</v>
      </c>
      <c r="F182" s="11">
        <f t="shared" si="20"/>
        <v>46.9</v>
      </c>
      <c r="G182" s="47">
        <v>46.9</v>
      </c>
      <c r="H182" s="52">
        <f t="shared" si="16"/>
        <v>1</v>
      </c>
      <c r="I182" s="36">
        <v>46.9</v>
      </c>
      <c r="J182" s="34"/>
      <c r="K182" s="34"/>
      <c r="L182" s="34"/>
      <c r="M182" s="34"/>
      <c r="N182" s="34"/>
      <c r="O182" s="42">
        <v>55.9</v>
      </c>
      <c r="P182" s="65"/>
      <c r="Q182" s="59">
        <v>53.9</v>
      </c>
      <c r="R182" s="60"/>
      <c r="S182" s="58" t="s">
        <v>481</v>
      </c>
    </row>
    <row r="183" spans="1:19" x14ac:dyDescent="0.3">
      <c r="A183" s="86" t="s">
        <v>340</v>
      </c>
      <c r="B183" s="86" t="s">
        <v>341</v>
      </c>
      <c r="C183" s="86" t="s">
        <v>3</v>
      </c>
      <c r="D183" s="28" t="s">
        <v>344</v>
      </c>
      <c r="E183" t="s">
        <v>345</v>
      </c>
      <c r="F183" s="11">
        <f t="shared" si="20"/>
        <v>61.9</v>
      </c>
      <c r="G183" s="47">
        <v>61.9</v>
      </c>
      <c r="H183" s="52">
        <f t="shared" si="16"/>
        <v>1</v>
      </c>
      <c r="I183" s="36">
        <v>61.9</v>
      </c>
      <c r="J183" s="34"/>
      <c r="K183" s="34"/>
      <c r="L183" s="34"/>
      <c r="M183" s="34"/>
      <c r="N183" s="34"/>
      <c r="O183" s="42">
        <v>73.900000000000006</v>
      </c>
      <c r="P183" s="65"/>
      <c r="Q183" s="59">
        <v>70.900000000000006</v>
      </c>
      <c r="R183" s="60"/>
      <c r="S183" s="58" t="s">
        <v>481</v>
      </c>
    </row>
    <row r="184" spans="1:19" x14ac:dyDescent="0.3">
      <c r="A184" s="86" t="s">
        <v>340</v>
      </c>
      <c r="B184" s="86" t="s">
        <v>341</v>
      </c>
      <c r="C184" s="2" t="s">
        <v>8</v>
      </c>
      <c r="D184" s="28" t="s">
        <v>341</v>
      </c>
      <c r="E184" t="s">
        <v>346</v>
      </c>
      <c r="F184" s="11">
        <f t="shared" si="20"/>
        <v>31.9</v>
      </c>
      <c r="G184" s="47">
        <v>32.9</v>
      </c>
      <c r="H184" s="52">
        <f t="shared" si="16"/>
        <v>1.0313479623824451</v>
      </c>
      <c r="I184" s="36">
        <v>31.9</v>
      </c>
      <c r="J184" s="34"/>
      <c r="K184" s="34"/>
      <c r="L184" s="34"/>
      <c r="M184" s="34"/>
      <c r="N184" s="34"/>
      <c r="O184" s="42">
        <v>39.9</v>
      </c>
      <c r="P184" s="65"/>
      <c r="Q184" s="59">
        <v>36.9</v>
      </c>
      <c r="R184" s="60"/>
      <c r="S184" s="58" t="s">
        <v>481</v>
      </c>
    </row>
    <row r="185" spans="1:19" x14ac:dyDescent="0.3">
      <c r="A185" s="86" t="s">
        <v>340</v>
      </c>
      <c r="B185" s="86" t="s">
        <v>143</v>
      </c>
      <c r="C185" s="86" t="s">
        <v>8</v>
      </c>
      <c r="D185" s="28" t="s">
        <v>347</v>
      </c>
      <c r="E185" t="s">
        <v>348</v>
      </c>
      <c r="F185" s="11">
        <v>19.899999999999999</v>
      </c>
      <c r="G185" s="47">
        <v>19.899999999999999</v>
      </c>
      <c r="H185" s="52">
        <f t="shared" si="16"/>
        <v>1</v>
      </c>
      <c r="I185" s="36">
        <v>19.899999999999999</v>
      </c>
      <c r="J185" s="34">
        <v>17.899999999999999</v>
      </c>
      <c r="K185" s="34">
        <v>17.899999999999999</v>
      </c>
      <c r="L185" s="34">
        <v>18.899999999999999</v>
      </c>
      <c r="M185" s="34">
        <v>18.899999999999999</v>
      </c>
      <c r="N185" s="34">
        <v>19.899999999999999</v>
      </c>
      <c r="O185" s="42">
        <v>23.9</v>
      </c>
      <c r="P185" s="65"/>
      <c r="Q185" s="59">
        <v>22.9</v>
      </c>
      <c r="R185" s="60"/>
      <c r="S185" s="58" t="s">
        <v>481</v>
      </c>
    </row>
    <row r="186" spans="1:19" x14ac:dyDescent="0.3">
      <c r="A186" s="86" t="s">
        <v>340</v>
      </c>
      <c r="B186" s="86" t="s">
        <v>143</v>
      </c>
      <c r="C186" s="86" t="s">
        <v>8</v>
      </c>
      <c r="D186" s="28" t="s">
        <v>349</v>
      </c>
      <c r="E186" t="s">
        <v>350</v>
      </c>
      <c r="F186" s="11">
        <v>19.899999999999999</v>
      </c>
      <c r="G186" s="47">
        <v>21.9</v>
      </c>
      <c r="H186" s="52">
        <f t="shared" si="16"/>
        <v>1.1005025125628141</v>
      </c>
      <c r="I186" s="36">
        <v>19.899999999999999</v>
      </c>
      <c r="J186" s="34">
        <v>19.899999999999999</v>
      </c>
      <c r="K186" s="34">
        <v>19.899999999999999</v>
      </c>
      <c r="L186" s="34">
        <v>20.9</v>
      </c>
      <c r="M186" s="34">
        <v>20.9</v>
      </c>
      <c r="N186" s="34">
        <v>21.9</v>
      </c>
      <c r="O186" s="42">
        <v>25.9</v>
      </c>
      <c r="P186" s="65"/>
      <c r="Q186" s="59">
        <v>23.9</v>
      </c>
      <c r="R186" s="60"/>
      <c r="S186" s="58" t="s">
        <v>481</v>
      </c>
    </row>
    <row r="187" spans="1:19" x14ac:dyDescent="0.3">
      <c r="A187" s="86" t="s">
        <v>340</v>
      </c>
      <c r="B187" s="86" t="s">
        <v>143</v>
      </c>
      <c r="C187" s="86" t="s">
        <v>8</v>
      </c>
      <c r="D187" s="28" t="s">
        <v>351</v>
      </c>
      <c r="E187" t="s">
        <v>352</v>
      </c>
      <c r="F187" s="11">
        <v>20.9</v>
      </c>
      <c r="G187" s="47">
        <v>21.9</v>
      </c>
      <c r="H187" s="52">
        <f t="shared" si="16"/>
        <v>1.0478468899521531</v>
      </c>
      <c r="I187" s="36">
        <v>20.9</v>
      </c>
      <c r="J187" s="34">
        <v>18.899999999999999</v>
      </c>
      <c r="K187" s="34">
        <v>18.899999999999999</v>
      </c>
      <c r="L187" s="34">
        <v>19.899999999999999</v>
      </c>
      <c r="M187" s="34">
        <v>19.899999999999999</v>
      </c>
      <c r="N187" s="34">
        <v>20.9</v>
      </c>
      <c r="O187" s="42">
        <v>25.9</v>
      </c>
      <c r="P187" s="65"/>
      <c r="Q187" s="59">
        <v>23.9</v>
      </c>
      <c r="R187" s="60"/>
      <c r="S187" s="58" t="s">
        <v>481</v>
      </c>
    </row>
    <row r="188" spans="1:19" x14ac:dyDescent="0.3">
      <c r="A188" s="86" t="s">
        <v>340</v>
      </c>
      <c r="B188" s="86" t="s">
        <v>143</v>
      </c>
      <c r="C188" s="86" t="s">
        <v>8</v>
      </c>
      <c r="D188" s="28" t="s">
        <v>353</v>
      </c>
      <c r="E188" t="s">
        <v>354</v>
      </c>
      <c r="F188" s="11">
        <v>19.899999999999999</v>
      </c>
      <c r="G188" s="47">
        <v>19.899999999999999</v>
      </c>
      <c r="H188" s="52">
        <f t="shared" si="16"/>
        <v>1</v>
      </c>
      <c r="I188" s="36">
        <v>19.899999999999999</v>
      </c>
      <c r="J188" s="34">
        <v>17.899999999999999</v>
      </c>
      <c r="K188" s="34">
        <v>17.899999999999999</v>
      </c>
      <c r="L188" s="34">
        <v>18.899999999999999</v>
      </c>
      <c r="M188" s="34">
        <v>18.899999999999999</v>
      </c>
      <c r="N188" s="34">
        <v>19.899999999999999</v>
      </c>
      <c r="O188" s="42">
        <v>25.9</v>
      </c>
      <c r="P188" s="65"/>
      <c r="Q188" s="59">
        <v>23.9</v>
      </c>
      <c r="R188" s="60"/>
      <c r="S188" s="58" t="s">
        <v>481</v>
      </c>
    </row>
    <row r="189" spans="1:19" x14ac:dyDescent="0.3">
      <c r="A189" s="86" t="s">
        <v>340</v>
      </c>
      <c r="B189" s="2" t="s">
        <v>153</v>
      </c>
      <c r="C189" s="2" t="s">
        <v>8</v>
      </c>
      <c r="D189" s="28" t="s">
        <v>355</v>
      </c>
      <c r="E189" t="s">
        <v>356</v>
      </c>
      <c r="F189" s="11">
        <v>7.9</v>
      </c>
      <c r="G189" s="47">
        <v>8.9</v>
      </c>
      <c r="H189" s="52">
        <f t="shared" si="16"/>
        <v>1</v>
      </c>
      <c r="I189" s="36">
        <v>8.9</v>
      </c>
      <c r="J189" s="34"/>
      <c r="K189" s="34"/>
      <c r="L189" s="34"/>
      <c r="M189" s="34"/>
      <c r="N189" s="34"/>
      <c r="O189" s="42">
        <v>10.9</v>
      </c>
      <c r="P189" s="65"/>
      <c r="Q189" s="59">
        <v>9.9</v>
      </c>
      <c r="R189" s="60"/>
      <c r="S189" s="58" t="s">
        <v>481</v>
      </c>
    </row>
    <row r="190" spans="1:19" x14ac:dyDescent="0.3">
      <c r="A190" s="86" t="s">
        <v>340</v>
      </c>
      <c r="B190" s="2" t="s">
        <v>357</v>
      </c>
      <c r="C190" s="2" t="s">
        <v>8</v>
      </c>
      <c r="D190" s="28" t="s">
        <v>358</v>
      </c>
      <c r="E190" t="s">
        <v>359</v>
      </c>
      <c r="F190" s="11">
        <v>4</v>
      </c>
      <c r="G190" s="47">
        <v>4</v>
      </c>
      <c r="H190" s="52">
        <f t="shared" si="16"/>
        <v>1</v>
      </c>
      <c r="I190" s="36">
        <v>4</v>
      </c>
      <c r="J190" s="34"/>
      <c r="K190" s="34"/>
      <c r="L190" s="34"/>
      <c r="M190" s="34"/>
      <c r="N190" s="34"/>
      <c r="O190" s="42">
        <v>4.9000000000000004</v>
      </c>
      <c r="P190" s="65"/>
      <c r="Q190" s="59">
        <v>4.9000000000000004</v>
      </c>
      <c r="R190" s="60"/>
      <c r="S190" s="58" t="s">
        <v>481</v>
      </c>
    </row>
    <row r="191" spans="1:19" x14ac:dyDescent="0.3">
      <c r="A191" s="86" t="s">
        <v>340</v>
      </c>
      <c r="B191" s="86" t="s">
        <v>360</v>
      </c>
      <c r="C191" s="86" t="s">
        <v>3</v>
      </c>
      <c r="D191" s="28" t="s">
        <v>361</v>
      </c>
      <c r="E191" t="s">
        <v>362</v>
      </c>
      <c r="F191" s="11">
        <v>58.9</v>
      </c>
      <c r="G191" s="47">
        <v>42.9</v>
      </c>
      <c r="H191" s="52">
        <f t="shared" si="16"/>
        <v>1</v>
      </c>
      <c r="I191" s="36">
        <v>42.9</v>
      </c>
      <c r="J191" s="34"/>
      <c r="K191" s="34"/>
      <c r="L191" s="34"/>
      <c r="M191" s="34"/>
      <c r="N191" s="34"/>
      <c r="O191" s="42">
        <v>51.9</v>
      </c>
      <c r="P191" s="65"/>
      <c r="Q191" s="59">
        <v>49.9</v>
      </c>
      <c r="R191" s="60"/>
      <c r="S191" s="58" t="s">
        <v>481</v>
      </c>
    </row>
    <row r="192" spans="1:19" x14ac:dyDescent="0.3">
      <c r="A192" s="86" t="s">
        <v>340</v>
      </c>
      <c r="B192" s="86" t="s">
        <v>360</v>
      </c>
      <c r="C192" s="86" t="s">
        <v>3</v>
      </c>
      <c r="D192" s="28" t="s">
        <v>363</v>
      </c>
      <c r="E192" t="s">
        <v>364</v>
      </c>
      <c r="F192" s="11">
        <v>79.400000000000006</v>
      </c>
      <c r="G192" s="47">
        <v>57.9</v>
      </c>
      <c r="H192" s="52">
        <f t="shared" si="16"/>
        <v>1</v>
      </c>
      <c r="I192" s="36">
        <v>57.9</v>
      </c>
      <c r="J192" s="34"/>
      <c r="K192" s="34"/>
      <c r="L192" s="34"/>
      <c r="M192" s="34"/>
      <c r="N192" s="34"/>
      <c r="O192" s="42">
        <v>69.900000000000006</v>
      </c>
      <c r="P192" s="65"/>
      <c r="Q192" s="59">
        <v>66.900000000000006</v>
      </c>
      <c r="R192" s="60"/>
      <c r="S192" s="58" t="s">
        <v>481</v>
      </c>
    </row>
    <row r="193" spans="1:19" x14ac:dyDescent="0.3">
      <c r="A193" s="86" t="s">
        <v>340</v>
      </c>
      <c r="B193" s="86" t="s">
        <v>360</v>
      </c>
      <c r="C193" s="2" t="s">
        <v>8</v>
      </c>
      <c r="D193" s="28" t="s">
        <v>365</v>
      </c>
      <c r="E193" t="s">
        <v>366</v>
      </c>
      <c r="F193" s="11">
        <v>31.9</v>
      </c>
      <c r="G193" s="47">
        <v>29.9</v>
      </c>
      <c r="H193" s="52">
        <f t="shared" si="16"/>
        <v>1</v>
      </c>
      <c r="I193" s="36">
        <v>29.9</v>
      </c>
      <c r="J193" s="34"/>
      <c r="K193" s="34"/>
      <c r="L193" s="34"/>
      <c r="M193" s="34"/>
      <c r="N193" s="34"/>
      <c r="O193" s="42">
        <v>35.9</v>
      </c>
      <c r="P193" s="65"/>
      <c r="Q193" s="59">
        <v>34.9</v>
      </c>
      <c r="R193" s="60"/>
      <c r="S193" s="58" t="s">
        <v>481</v>
      </c>
    </row>
    <row r="194" spans="1:19" x14ac:dyDescent="0.3">
      <c r="A194" s="86" t="s">
        <v>340</v>
      </c>
      <c r="B194" s="2" t="s">
        <v>173</v>
      </c>
      <c r="C194" s="2" t="s">
        <v>8</v>
      </c>
      <c r="D194" s="28" t="s">
        <v>367</v>
      </c>
      <c r="E194" t="s">
        <v>368</v>
      </c>
      <c r="F194" s="11">
        <v>21.9</v>
      </c>
      <c r="G194" s="47">
        <v>21.9</v>
      </c>
      <c r="H194" s="52">
        <f t="shared" si="16"/>
        <v>1</v>
      </c>
      <c r="I194" s="36">
        <v>21.9</v>
      </c>
      <c r="J194" s="34">
        <v>19.899999999999999</v>
      </c>
      <c r="K194" s="34">
        <v>19.899999999999999</v>
      </c>
      <c r="L194" s="34">
        <v>20.9</v>
      </c>
      <c r="M194" s="34">
        <v>20.9</v>
      </c>
      <c r="N194" s="34">
        <v>21.9</v>
      </c>
      <c r="O194" s="42">
        <v>25.9</v>
      </c>
      <c r="P194" s="65"/>
      <c r="Q194" s="59">
        <v>25.9</v>
      </c>
      <c r="R194" s="60"/>
      <c r="S194" s="58" t="s">
        <v>481</v>
      </c>
    </row>
    <row r="195" spans="1:19" x14ac:dyDescent="0.3">
      <c r="A195" s="86" t="s">
        <v>340</v>
      </c>
      <c r="B195" s="86" t="s">
        <v>369</v>
      </c>
      <c r="C195" s="2" t="s">
        <v>3</v>
      </c>
      <c r="D195" s="28" t="s">
        <v>370</v>
      </c>
      <c r="E195" t="s">
        <v>371</v>
      </c>
      <c r="F195" s="11">
        <v>45.9</v>
      </c>
      <c r="G195" s="47">
        <v>44.9</v>
      </c>
      <c r="H195" s="52">
        <f t="shared" si="16"/>
        <v>1</v>
      </c>
      <c r="I195" s="36">
        <v>44.9</v>
      </c>
      <c r="J195" s="32"/>
      <c r="K195" s="32"/>
      <c r="L195" s="32"/>
      <c r="M195" s="32"/>
      <c r="N195" s="32"/>
      <c r="O195" s="42">
        <v>53.9</v>
      </c>
      <c r="P195" s="65"/>
      <c r="Q195" s="59">
        <v>53.9</v>
      </c>
      <c r="R195" s="60"/>
      <c r="S195" s="58" t="s">
        <v>481</v>
      </c>
    </row>
    <row r="196" spans="1:19" x14ac:dyDescent="0.3">
      <c r="A196" s="86" t="s">
        <v>340</v>
      </c>
      <c r="B196" s="86" t="s">
        <v>369</v>
      </c>
      <c r="C196" s="86" t="s">
        <v>8</v>
      </c>
      <c r="D196" s="28" t="s">
        <v>372</v>
      </c>
      <c r="E196" t="s">
        <v>373</v>
      </c>
      <c r="F196" s="11">
        <v>19.899999999999999</v>
      </c>
      <c r="G196" s="47">
        <v>16.899999999999999</v>
      </c>
      <c r="H196" s="52">
        <f t="shared" ref="H196:H229" si="21">G196/I196</f>
        <v>1</v>
      </c>
      <c r="I196" s="36">
        <v>16.899999999999999</v>
      </c>
      <c r="J196" s="32"/>
      <c r="K196" s="32"/>
      <c r="L196" s="32"/>
      <c r="M196" s="32"/>
      <c r="N196" s="32"/>
      <c r="O196" s="42">
        <v>19.899999999999999</v>
      </c>
      <c r="P196" s="65"/>
      <c r="Q196" s="59">
        <v>21.9</v>
      </c>
      <c r="R196" s="60"/>
      <c r="S196" s="58" t="s">
        <v>481</v>
      </c>
    </row>
    <row r="197" spans="1:19" x14ac:dyDescent="0.3">
      <c r="A197" s="86" t="s">
        <v>340</v>
      </c>
      <c r="B197" s="86" t="s">
        <v>369</v>
      </c>
      <c r="C197" s="86" t="s">
        <v>8</v>
      </c>
      <c r="D197" s="28" t="s">
        <v>374</v>
      </c>
      <c r="E197" t="s">
        <v>375</v>
      </c>
      <c r="F197" s="11">
        <v>4</v>
      </c>
      <c r="G197" s="47">
        <v>4</v>
      </c>
      <c r="H197" s="52">
        <f t="shared" si="21"/>
        <v>1</v>
      </c>
      <c r="I197" s="36">
        <v>4</v>
      </c>
      <c r="J197" s="13"/>
      <c r="K197" s="13"/>
      <c r="L197" s="13"/>
      <c r="M197" s="13"/>
      <c r="N197" s="13"/>
      <c r="O197" s="42">
        <v>4.9000000000000004</v>
      </c>
      <c r="P197" s="65"/>
      <c r="Q197" s="59">
        <v>4.9000000000000004</v>
      </c>
      <c r="R197" s="60"/>
      <c r="S197" s="58" t="s">
        <v>481</v>
      </c>
    </row>
    <row r="198" spans="1:19" x14ac:dyDescent="0.3">
      <c r="A198" s="86" t="s">
        <v>340</v>
      </c>
      <c r="B198" s="86" t="s">
        <v>369</v>
      </c>
      <c r="C198" s="86" t="s">
        <v>8</v>
      </c>
      <c r="D198" s="28" t="s">
        <v>376</v>
      </c>
      <c r="E198" t="s">
        <v>377</v>
      </c>
      <c r="F198" s="11">
        <v>12</v>
      </c>
      <c r="G198" s="47">
        <v>11.9</v>
      </c>
      <c r="H198" s="52">
        <f t="shared" si="21"/>
        <v>1</v>
      </c>
      <c r="I198" s="36">
        <v>11.9</v>
      </c>
      <c r="J198" s="13"/>
      <c r="K198" s="13"/>
      <c r="L198" s="13"/>
      <c r="M198" s="13"/>
      <c r="N198" s="13"/>
      <c r="O198" s="42">
        <v>13.9</v>
      </c>
      <c r="P198" s="65"/>
      <c r="Q198" s="59">
        <v>13.9</v>
      </c>
      <c r="R198" s="60"/>
      <c r="S198" s="58" t="s">
        <v>481</v>
      </c>
    </row>
    <row r="199" spans="1:19" x14ac:dyDescent="0.3">
      <c r="A199" s="86" t="s">
        <v>340</v>
      </c>
      <c r="B199" s="86" t="s">
        <v>369</v>
      </c>
      <c r="C199" s="86" t="s">
        <v>8</v>
      </c>
      <c r="D199" s="28" t="s">
        <v>378</v>
      </c>
      <c r="E199" t="s">
        <v>379</v>
      </c>
      <c r="F199" s="11">
        <v>4</v>
      </c>
      <c r="G199" s="47">
        <v>4</v>
      </c>
      <c r="H199" s="52">
        <f t="shared" si="21"/>
        <v>1</v>
      </c>
      <c r="I199" s="36">
        <v>4</v>
      </c>
      <c r="J199" s="13"/>
      <c r="K199" s="13"/>
      <c r="L199" s="13"/>
      <c r="M199" s="13"/>
      <c r="N199" s="13"/>
      <c r="O199" s="42">
        <v>4.9000000000000004</v>
      </c>
      <c r="P199" s="65"/>
      <c r="Q199" s="59">
        <v>4.9000000000000004</v>
      </c>
      <c r="R199" s="60"/>
      <c r="S199" s="58" t="s">
        <v>481</v>
      </c>
    </row>
    <row r="200" spans="1:19" x14ac:dyDescent="0.3">
      <c r="A200" s="86" t="s">
        <v>340</v>
      </c>
      <c r="B200" s="86" t="s">
        <v>369</v>
      </c>
      <c r="C200" s="86" t="s">
        <v>8</v>
      </c>
      <c r="D200" s="28" t="s">
        <v>380</v>
      </c>
      <c r="E200" t="s">
        <v>381</v>
      </c>
      <c r="F200" s="11">
        <v>6.5</v>
      </c>
      <c r="G200" s="47">
        <v>6.5</v>
      </c>
      <c r="H200" s="52">
        <f t="shared" si="21"/>
        <v>1</v>
      </c>
      <c r="I200" s="36">
        <v>6.5</v>
      </c>
      <c r="J200" s="13"/>
      <c r="K200" s="13"/>
      <c r="L200" s="13"/>
      <c r="M200" s="13"/>
      <c r="N200" s="13"/>
      <c r="O200" s="42">
        <v>7.9</v>
      </c>
      <c r="P200" s="65"/>
      <c r="Q200" s="59">
        <v>7.9</v>
      </c>
      <c r="R200" s="60"/>
      <c r="S200" s="58" t="s">
        <v>481</v>
      </c>
    </row>
    <row r="201" spans="1:19" x14ac:dyDescent="0.3">
      <c r="A201" s="86" t="s">
        <v>340</v>
      </c>
      <c r="B201" s="86" t="s">
        <v>369</v>
      </c>
      <c r="C201" s="86" t="s">
        <v>8</v>
      </c>
      <c r="D201" s="28" t="s">
        <v>382</v>
      </c>
      <c r="E201" t="s">
        <v>383</v>
      </c>
      <c r="F201" s="11">
        <v>41.9</v>
      </c>
      <c r="G201" s="47">
        <v>45.9</v>
      </c>
      <c r="H201" s="52">
        <f t="shared" si="21"/>
        <v>1.1222493887530562</v>
      </c>
      <c r="I201" s="36">
        <v>40.9</v>
      </c>
      <c r="J201" s="32">
        <v>44.9</v>
      </c>
      <c r="K201" s="32">
        <v>44.9</v>
      </c>
      <c r="L201" s="32">
        <v>44.9</v>
      </c>
      <c r="M201" s="32">
        <v>44.9</v>
      </c>
      <c r="N201" s="32">
        <v>44.9</v>
      </c>
      <c r="O201" s="42">
        <v>54.9</v>
      </c>
      <c r="P201" s="65"/>
      <c r="Q201" s="59">
        <v>48.9</v>
      </c>
      <c r="R201" s="60"/>
      <c r="S201" s="58" t="s">
        <v>481</v>
      </c>
    </row>
    <row r="202" spans="1:19" x14ac:dyDescent="0.3">
      <c r="A202" s="86" t="s">
        <v>340</v>
      </c>
      <c r="B202" s="86" t="s">
        <v>314</v>
      </c>
      <c r="C202" s="86" t="s">
        <v>8</v>
      </c>
      <c r="D202" s="28" t="s">
        <v>478</v>
      </c>
      <c r="E202" t="s">
        <v>384</v>
      </c>
      <c r="F202" s="11">
        <v>6</v>
      </c>
      <c r="G202" s="47">
        <v>5.9</v>
      </c>
      <c r="H202" s="52">
        <f t="shared" si="21"/>
        <v>1</v>
      </c>
      <c r="I202" s="36">
        <v>5.9</v>
      </c>
      <c r="J202" s="13"/>
      <c r="K202" s="13"/>
      <c r="L202" s="13"/>
      <c r="M202" s="13"/>
      <c r="N202" s="13"/>
      <c r="O202" s="42">
        <v>6.9</v>
      </c>
      <c r="P202" s="65"/>
      <c r="Q202" s="59">
        <v>6.9</v>
      </c>
      <c r="R202" s="60"/>
      <c r="S202" s="58" t="s">
        <v>481</v>
      </c>
    </row>
    <row r="203" spans="1:19" x14ac:dyDescent="0.3">
      <c r="A203" s="86" t="s">
        <v>340</v>
      </c>
      <c r="B203" s="86" t="s">
        <v>314</v>
      </c>
      <c r="C203" s="86" t="s">
        <v>8</v>
      </c>
      <c r="D203" s="28" t="s">
        <v>385</v>
      </c>
      <c r="E203" t="s">
        <v>386</v>
      </c>
      <c r="F203" s="11">
        <v>4</v>
      </c>
      <c r="G203" s="47">
        <v>3.9</v>
      </c>
      <c r="H203" s="52">
        <f t="shared" si="21"/>
        <v>1</v>
      </c>
      <c r="I203" s="36">
        <v>3.9</v>
      </c>
      <c r="J203" s="13"/>
      <c r="K203" s="13"/>
      <c r="L203" s="13"/>
      <c r="M203" s="13"/>
      <c r="N203" s="13"/>
      <c r="O203" s="42">
        <v>4.9000000000000004</v>
      </c>
      <c r="P203" s="65"/>
      <c r="Q203" s="59">
        <v>4.9000000000000004</v>
      </c>
      <c r="R203" s="60"/>
      <c r="S203" s="58" t="s">
        <v>481</v>
      </c>
    </row>
    <row r="204" spans="1:19" x14ac:dyDescent="0.3">
      <c r="A204" s="2"/>
      <c r="B204" s="2"/>
      <c r="C204" s="2"/>
      <c r="D204" s="28" t="s">
        <v>412</v>
      </c>
      <c r="F204" s="11">
        <v>42.9</v>
      </c>
      <c r="G204" s="47">
        <v>41.9</v>
      </c>
      <c r="H204" s="52">
        <f t="shared" si="21"/>
        <v>1</v>
      </c>
      <c r="I204" s="36">
        <v>41.9</v>
      </c>
      <c r="J204" s="32"/>
      <c r="K204" s="32"/>
      <c r="L204" s="32"/>
      <c r="M204" s="32"/>
      <c r="N204" s="32"/>
      <c r="O204" s="42">
        <v>49.9</v>
      </c>
      <c r="P204" s="65"/>
      <c r="Q204" s="59">
        <v>50.6</v>
      </c>
      <c r="R204" s="62"/>
    </row>
    <row r="205" spans="1:19" x14ac:dyDescent="0.3">
      <c r="D205" s="28" t="s">
        <v>411</v>
      </c>
      <c r="F205" s="11">
        <v>42.9</v>
      </c>
      <c r="G205" s="47">
        <v>41.9</v>
      </c>
      <c r="H205" s="52">
        <f t="shared" si="21"/>
        <v>1</v>
      </c>
      <c r="I205" s="36">
        <v>41.9</v>
      </c>
      <c r="J205" s="32">
        <v>36.9</v>
      </c>
      <c r="K205" s="32">
        <v>37.9</v>
      </c>
      <c r="L205" s="32">
        <v>38.9</v>
      </c>
      <c r="M205" s="32">
        <v>39.9</v>
      </c>
      <c r="N205" s="32">
        <v>40.9</v>
      </c>
      <c r="O205" s="42">
        <v>49.9</v>
      </c>
      <c r="P205" s="65"/>
      <c r="Q205" s="59">
        <v>50.6</v>
      </c>
      <c r="R205" s="62"/>
    </row>
    <row r="206" spans="1:19" x14ac:dyDescent="0.3">
      <c r="D206" s="28" t="s">
        <v>389</v>
      </c>
      <c r="E206" s="3">
        <v>19.899999999999999</v>
      </c>
      <c r="F206" s="11">
        <v>24.9</v>
      </c>
      <c r="G206" s="47">
        <v>24.9</v>
      </c>
      <c r="H206" s="52">
        <f t="shared" si="21"/>
        <v>1.0418410041841004</v>
      </c>
      <c r="I206" s="36">
        <v>23.9</v>
      </c>
      <c r="J206" s="32">
        <v>19.899999999999999</v>
      </c>
      <c r="K206" s="32">
        <v>20.9</v>
      </c>
      <c r="L206" s="32">
        <v>21.9</v>
      </c>
      <c r="M206" s="32">
        <v>22.9</v>
      </c>
      <c r="N206" s="32">
        <v>23.9</v>
      </c>
      <c r="O206" s="42">
        <v>29.9</v>
      </c>
      <c r="P206" s="65"/>
      <c r="Q206" s="59">
        <v>29.3</v>
      </c>
      <c r="R206" s="62"/>
    </row>
    <row r="207" spans="1:19" x14ac:dyDescent="0.3">
      <c r="D207" s="28" t="s">
        <v>390</v>
      </c>
      <c r="E207" s="3">
        <v>19.899999999999999</v>
      </c>
      <c r="F207" s="11">
        <v>25.9</v>
      </c>
      <c r="G207" s="47">
        <v>25.9</v>
      </c>
      <c r="H207" s="52">
        <f t="shared" si="21"/>
        <v>1.0401606425702812</v>
      </c>
      <c r="I207" s="36">
        <v>24.9</v>
      </c>
      <c r="J207" s="32">
        <v>20.9</v>
      </c>
      <c r="K207" s="32">
        <v>21.9</v>
      </c>
      <c r="L207" s="32">
        <v>22.9</v>
      </c>
      <c r="M207" s="32">
        <v>23.9</v>
      </c>
      <c r="N207" s="32">
        <v>24.9</v>
      </c>
      <c r="O207" s="42">
        <v>30.9</v>
      </c>
      <c r="P207" s="65"/>
      <c r="Q207" s="59">
        <v>30.5</v>
      </c>
      <c r="R207" s="62"/>
    </row>
    <row r="208" spans="1:19" x14ac:dyDescent="0.3">
      <c r="D208" s="28" t="s">
        <v>391</v>
      </c>
      <c r="E208" s="3">
        <v>19.899999999999999</v>
      </c>
      <c r="F208" s="11">
        <v>24.9</v>
      </c>
      <c r="G208" s="47">
        <v>23.9</v>
      </c>
      <c r="H208" s="52">
        <f t="shared" si="21"/>
        <v>1.0436681222707425</v>
      </c>
      <c r="I208" s="36">
        <v>22.9</v>
      </c>
      <c r="J208" s="32">
        <v>18.899999999999999</v>
      </c>
      <c r="K208" s="32">
        <v>19.899999999999999</v>
      </c>
      <c r="L208" s="32">
        <v>20.9</v>
      </c>
      <c r="M208" s="32">
        <v>21.9</v>
      </c>
      <c r="N208" s="32">
        <v>22.9</v>
      </c>
      <c r="O208" s="42">
        <v>28.9</v>
      </c>
      <c r="P208" s="65"/>
      <c r="Q208" s="59">
        <v>29.9</v>
      </c>
      <c r="R208" s="60"/>
      <c r="S208" s="58" t="s">
        <v>481</v>
      </c>
    </row>
    <row r="209" spans="3:20" x14ac:dyDescent="0.3">
      <c r="D209" s="28" t="s">
        <v>392</v>
      </c>
      <c r="E209" s="3">
        <v>32.9</v>
      </c>
      <c r="F209" s="11">
        <v>38.9</v>
      </c>
      <c r="G209" s="47">
        <v>39.9</v>
      </c>
      <c r="H209" s="52">
        <f t="shared" si="21"/>
        <v>1.0527704485488127</v>
      </c>
      <c r="I209" s="36">
        <v>37.9</v>
      </c>
      <c r="J209" s="32">
        <v>34.9</v>
      </c>
      <c r="K209" s="32">
        <v>35.9</v>
      </c>
      <c r="L209" s="32">
        <v>36.9</v>
      </c>
      <c r="M209" s="32">
        <v>37.9</v>
      </c>
      <c r="N209" s="32">
        <v>38.9</v>
      </c>
      <c r="O209" s="42">
        <v>47.9</v>
      </c>
      <c r="P209" s="65"/>
      <c r="Q209" s="59">
        <v>45.9</v>
      </c>
      <c r="R209" s="60"/>
      <c r="S209" s="58" t="s">
        <v>481</v>
      </c>
    </row>
    <row r="210" spans="3:20" x14ac:dyDescent="0.3">
      <c r="D210" s="28" t="s">
        <v>393</v>
      </c>
      <c r="E210" s="3">
        <v>32.9</v>
      </c>
      <c r="F210" s="11">
        <v>39.9</v>
      </c>
      <c r="G210" s="47">
        <v>39.9</v>
      </c>
      <c r="H210" s="52">
        <f t="shared" si="21"/>
        <v>1.025706940874036</v>
      </c>
      <c r="I210" s="36">
        <v>38.9</v>
      </c>
      <c r="J210" s="32">
        <v>35.9</v>
      </c>
      <c r="K210" s="32">
        <v>36.9</v>
      </c>
      <c r="L210" s="32">
        <v>37.9</v>
      </c>
      <c r="M210" s="32">
        <v>38.9</v>
      </c>
      <c r="N210" s="32">
        <v>39.9</v>
      </c>
      <c r="O210" s="42">
        <v>47.9</v>
      </c>
      <c r="P210" s="65"/>
      <c r="Q210" s="59">
        <v>47</v>
      </c>
      <c r="R210" s="62"/>
    </row>
    <row r="211" spans="3:20" x14ac:dyDescent="0.3">
      <c r="D211" s="28" t="s">
        <v>394</v>
      </c>
      <c r="E211" s="3">
        <v>32.9</v>
      </c>
      <c r="F211" s="11">
        <v>38.9</v>
      </c>
      <c r="G211" s="47">
        <v>38.9</v>
      </c>
      <c r="H211" s="52">
        <f t="shared" si="21"/>
        <v>1.0263852242744063</v>
      </c>
      <c r="I211" s="36">
        <v>37.9</v>
      </c>
      <c r="J211" s="32">
        <v>33.9</v>
      </c>
      <c r="K211" s="32">
        <v>34.9</v>
      </c>
      <c r="L211" s="32">
        <v>35.9</v>
      </c>
      <c r="M211" s="32">
        <v>36.9</v>
      </c>
      <c r="N211" s="32">
        <v>37.9</v>
      </c>
      <c r="O211" s="42">
        <v>46.9</v>
      </c>
      <c r="P211" s="65"/>
      <c r="Q211" s="59">
        <v>45.9</v>
      </c>
      <c r="R211" s="62"/>
    </row>
    <row r="212" spans="3:20" x14ac:dyDescent="0.3">
      <c r="C212" s="5">
        <v>921087</v>
      </c>
      <c r="D212" s="28" t="s">
        <v>415</v>
      </c>
      <c r="F212" s="11">
        <v>137.4</v>
      </c>
      <c r="G212" s="47">
        <v>139.9</v>
      </c>
      <c r="H212" s="52">
        <f t="shared" si="21"/>
        <v>1.0181950509461426</v>
      </c>
      <c r="I212" s="36">
        <v>137.4</v>
      </c>
      <c r="J212" s="32">
        <v>137.4</v>
      </c>
      <c r="K212" s="32">
        <v>137.4</v>
      </c>
      <c r="L212" s="32">
        <v>137.4</v>
      </c>
      <c r="M212" s="32">
        <v>137.4</v>
      </c>
      <c r="N212" s="32">
        <v>137.4</v>
      </c>
      <c r="O212" s="42">
        <v>166.9</v>
      </c>
      <c r="P212" s="65"/>
      <c r="Q212" s="59">
        <v>162.1</v>
      </c>
      <c r="R212" s="60"/>
      <c r="S212" s="58" t="s">
        <v>481</v>
      </c>
      <c r="T212" s="81">
        <f>G212/6</f>
        <v>23.316666666666666</v>
      </c>
    </row>
    <row r="213" spans="3:20" x14ac:dyDescent="0.3">
      <c r="C213" s="5">
        <v>921088</v>
      </c>
      <c r="D213" s="28" t="s">
        <v>414</v>
      </c>
      <c r="F213" s="11">
        <v>175.2</v>
      </c>
      <c r="G213" s="47">
        <v>189.9</v>
      </c>
      <c r="H213" s="52">
        <f t="shared" si="21"/>
        <v>1.0365720524017468</v>
      </c>
      <c r="I213" s="36">
        <v>183.2</v>
      </c>
      <c r="J213" s="32">
        <v>183.2</v>
      </c>
      <c r="K213" s="32">
        <v>183.2</v>
      </c>
      <c r="L213" s="32">
        <v>183.2</v>
      </c>
      <c r="M213" s="32">
        <v>183.2</v>
      </c>
      <c r="N213" s="32">
        <v>183.2</v>
      </c>
      <c r="O213" s="42">
        <v>226.9</v>
      </c>
      <c r="P213" s="65"/>
      <c r="Q213" s="59">
        <v>206.9</v>
      </c>
      <c r="R213" s="60"/>
      <c r="S213" s="58" t="s">
        <v>481</v>
      </c>
      <c r="T213" s="81">
        <f>G213/8</f>
        <v>23.737500000000001</v>
      </c>
    </row>
    <row r="214" spans="3:20" x14ac:dyDescent="0.3">
      <c r="C214" s="5">
        <v>921094</v>
      </c>
      <c r="D214" s="28" t="s">
        <v>413</v>
      </c>
      <c r="F214" s="11">
        <v>250.8</v>
      </c>
      <c r="G214" s="47">
        <v>289.89999999999998</v>
      </c>
      <c r="H214" s="52">
        <f t="shared" si="21"/>
        <v>1.0549490538573507</v>
      </c>
      <c r="I214" s="36">
        <v>274.8</v>
      </c>
      <c r="J214" s="32">
        <v>274.8</v>
      </c>
      <c r="K214" s="32">
        <v>274.8</v>
      </c>
      <c r="L214" s="32">
        <v>274.8</v>
      </c>
      <c r="M214" s="32">
        <v>274.8</v>
      </c>
      <c r="N214" s="32">
        <v>274.8</v>
      </c>
      <c r="O214" s="42">
        <v>346.9</v>
      </c>
      <c r="P214" s="65"/>
      <c r="Q214" s="59">
        <v>295.89999999999998</v>
      </c>
      <c r="R214" s="60"/>
      <c r="S214" s="58" t="s">
        <v>481</v>
      </c>
      <c r="T214" s="81">
        <f>G214/12</f>
        <v>24.158333333333331</v>
      </c>
    </row>
    <row r="215" spans="3:20" x14ac:dyDescent="0.3">
      <c r="D215" s="28" t="s">
        <v>406</v>
      </c>
      <c r="F215" s="11">
        <v>21.9</v>
      </c>
      <c r="G215" s="47">
        <v>21.9</v>
      </c>
      <c r="H215" s="52">
        <f t="shared" si="21"/>
        <v>1</v>
      </c>
      <c r="I215" s="36">
        <v>21.9</v>
      </c>
      <c r="J215" s="32"/>
      <c r="K215" s="32"/>
      <c r="L215" s="32"/>
      <c r="M215" s="32"/>
      <c r="N215" s="32"/>
      <c r="O215" s="42">
        <v>25.9</v>
      </c>
      <c r="P215" s="65"/>
      <c r="Q215" s="59">
        <v>25.9</v>
      </c>
      <c r="R215" s="60"/>
      <c r="S215" s="58" t="s">
        <v>481</v>
      </c>
    </row>
    <row r="216" spans="3:20" x14ac:dyDescent="0.3">
      <c r="D216" s="28" t="s">
        <v>405</v>
      </c>
      <c r="F216" s="11">
        <v>16.899999999999999</v>
      </c>
      <c r="G216" s="47">
        <v>15.9</v>
      </c>
      <c r="H216" s="52">
        <f t="shared" si="21"/>
        <v>0.94082840236686405</v>
      </c>
      <c r="I216" s="36">
        <v>16.899999999999999</v>
      </c>
      <c r="J216" s="32">
        <v>15</v>
      </c>
      <c r="K216" s="32">
        <v>15</v>
      </c>
      <c r="L216" s="32">
        <v>15</v>
      </c>
      <c r="M216" s="32">
        <v>15</v>
      </c>
      <c r="N216" s="32">
        <v>15</v>
      </c>
      <c r="O216" s="42">
        <v>18.899999999999999</v>
      </c>
      <c r="P216" s="65"/>
      <c r="Q216" s="59">
        <v>19.899999999999999</v>
      </c>
      <c r="R216" s="60"/>
      <c r="S216" s="58" t="s">
        <v>481</v>
      </c>
    </row>
    <row r="217" spans="3:20" x14ac:dyDescent="0.3">
      <c r="D217" s="28" t="s">
        <v>404</v>
      </c>
      <c r="F217" s="11">
        <v>17.899999999999999</v>
      </c>
      <c r="G217" s="47">
        <v>16.899999999999999</v>
      </c>
      <c r="H217" s="52">
        <f t="shared" si="21"/>
        <v>1</v>
      </c>
      <c r="I217" s="36">
        <v>16.899999999999999</v>
      </c>
      <c r="J217" s="32">
        <v>15</v>
      </c>
      <c r="K217" s="32">
        <v>15</v>
      </c>
      <c r="L217" s="32">
        <v>15</v>
      </c>
      <c r="M217" s="32">
        <v>15</v>
      </c>
      <c r="N217" s="32">
        <v>15</v>
      </c>
      <c r="O217" s="42">
        <v>18.899999999999999</v>
      </c>
      <c r="P217" s="65"/>
      <c r="Q217" s="59">
        <v>21.9</v>
      </c>
      <c r="R217" s="60"/>
      <c r="S217" s="58" t="s">
        <v>481</v>
      </c>
    </row>
    <row r="218" spans="3:20" x14ac:dyDescent="0.3">
      <c r="D218" s="28" t="s">
        <v>403</v>
      </c>
      <c r="F218" s="11">
        <v>16.899999999999999</v>
      </c>
      <c r="G218" s="47">
        <v>15.9</v>
      </c>
      <c r="H218" s="52">
        <f t="shared" si="21"/>
        <v>0.94082840236686405</v>
      </c>
      <c r="I218" s="36">
        <v>16.899999999999999</v>
      </c>
      <c r="J218" s="32">
        <v>15</v>
      </c>
      <c r="K218" s="32">
        <v>15</v>
      </c>
      <c r="L218" s="32">
        <v>15</v>
      </c>
      <c r="M218" s="32">
        <v>15</v>
      </c>
      <c r="N218" s="32">
        <v>15</v>
      </c>
      <c r="O218" s="42">
        <v>18.899999999999999</v>
      </c>
      <c r="P218" s="65"/>
      <c r="Q218" s="59">
        <v>19.899999999999999</v>
      </c>
      <c r="R218" s="60"/>
      <c r="S218" s="58" t="s">
        <v>481</v>
      </c>
    </row>
    <row r="219" spans="3:20" x14ac:dyDescent="0.3">
      <c r="D219" s="28" t="s">
        <v>402</v>
      </c>
      <c r="F219" s="11">
        <v>12.9</v>
      </c>
      <c r="G219" s="47">
        <v>12.9</v>
      </c>
      <c r="H219" s="52">
        <f t="shared" si="21"/>
        <v>1.0840336134453781</v>
      </c>
      <c r="I219" s="36">
        <v>11.9</v>
      </c>
      <c r="J219" s="32">
        <v>11.9</v>
      </c>
      <c r="K219" s="32">
        <v>11.9</v>
      </c>
      <c r="L219" s="32">
        <v>11.9</v>
      </c>
      <c r="M219" s="32">
        <v>11.9</v>
      </c>
      <c r="N219" s="32">
        <v>11.9</v>
      </c>
      <c r="O219" s="42">
        <v>15.9</v>
      </c>
      <c r="P219" s="65"/>
      <c r="Q219" s="59">
        <v>14.9</v>
      </c>
      <c r="R219" s="62"/>
    </row>
    <row r="220" spans="3:20" x14ac:dyDescent="0.3">
      <c r="D220" s="28" t="s">
        <v>401</v>
      </c>
      <c r="F220" s="11">
        <v>12.9</v>
      </c>
      <c r="G220" s="47">
        <v>12.9</v>
      </c>
      <c r="H220" s="52">
        <f t="shared" si="21"/>
        <v>1.0840336134453781</v>
      </c>
      <c r="I220" s="36">
        <v>11.9</v>
      </c>
      <c r="J220" s="32">
        <v>9.9</v>
      </c>
      <c r="K220" s="32">
        <v>9.9</v>
      </c>
      <c r="L220" s="32">
        <v>9.9</v>
      </c>
      <c r="M220" s="32">
        <v>9.9</v>
      </c>
      <c r="N220" s="32">
        <v>9.9</v>
      </c>
      <c r="O220" s="42">
        <v>14.9</v>
      </c>
      <c r="P220" s="65"/>
      <c r="Q220" s="59">
        <v>14.9</v>
      </c>
      <c r="R220" s="62"/>
    </row>
    <row r="221" spans="3:20" x14ac:dyDescent="0.3">
      <c r="D221" s="28" t="s">
        <v>400</v>
      </c>
      <c r="F221" s="11">
        <v>20.9</v>
      </c>
      <c r="G221" s="47">
        <v>21.9</v>
      </c>
      <c r="H221" s="52">
        <f t="shared" si="21"/>
        <v>0.87951807228915657</v>
      </c>
      <c r="I221" s="36">
        <v>24.9</v>
      </c>
      <c r="J221" s="32">
        <v>19.899999999999999</v>
      </c>
      <c r="K221" s="32">
        <v>19.899999999999999</v>
      </c>
      <c r="L221" s="32">
        <v>19.899999999999999</v>
      </c>
      <c r="M221" s="32">
        <v>19.899999999999999</v>
      </c>
      <c r="N221" s="32">
        <v>19.899999999999999</v>
      </c>
      <c r="O221" s="42">
        <v>25.9</v>
      </c>
      <c r="P221" s="65"/>
      <c r="Q221" s="59">
        <v>25.9</v>
      </c>
      <c r="R221" s="62"/>
    </row>
    <row r="222" spans="3:20" x14ac:dyDescent="0.3">
      <c r="D222" s="28" t="s">
        <v>399</v>
      </c>
      <c r="F222" s="11">
        <v>20.9</v>
      </c>
      <c r="G222" s="47">
        <v>21.9</v>
      </c>
      <c r="H222" s="52">
        <f t="shared" si="21"/>
        <v>0.87951807228915657</v>
      </c>
      <c r="I222" s="36">
        <v>24.9</v>
      </c>
      <c r="J222" s="32">
        <v>19.899999999999999</v>
      </c>
      <c r="K222" s="32">
        <v>19.899999999999999</v>
      </c>
      <c r="L222" s="32">
        <v>19.899999999999999</v>
      </c>
      <c r="M222" s="32">
        <v>19.899999999999999</v>
      </c>
      <c r="N222" s="32">
        <v>19.899999999999999</v>
      </c>
      <c r="O222" s="42">
        <v>25.9</v>
      </c>
      <c r="P222" s="65"/>
      <c r="Q222" s="59">
        <v>24.6</v>
      </c>
      <c r="R222" s="62"/>
    </row>
    <row r="223" spans="3:20" x14ac:dyDescent="0.3">
      <c r="D223" s="28" t="s">
        <v>398</v>
      </c>
      <c r="F223" s="11">
        <v>20.9</v>
      </c>
      <c r="G223" s="47">
        <v>21.9</v>
      </c>
      <c r="H223" s="52">
        <f t="shared" si="21"/>
        <v>0.87951807228915657</v>
      </c>
      <c r="I223" s="36">
        <v>24.9</v>
      </c>
      <c r="J223" s="32">
        <v>19.899999999999999</v>
      </c>
      <c r="K223" s="32">
        <v>19.899999999999999</v>
      </c>
      <c r="L223" s="32">
        <v>19.899999999999999</v>
      </c>
      <c r="M223" s="32">
        <v>19.899999999999999</v>
      </c>
      <c r="N223" s="32">
        <v>19.899999999999999</v>
      </c>
      <c r="O223" s="42">
        <v>25.9</v>
      </c>
      <c r="P223" s="65"/>
      <c r="Q223" s="59">
        <v>24.6</v>
      </c>
      <c r="R223" s="62"/>
    </row>
    <row r="224" spans="3:20" x14ac:dyDescent="0.3">
      <c r="D224" s="28" t="s">
        <v>397</v>
      </c>
      <c r="F224" s="11">
        <v>20.9</v>
      </c>
      <c r="G224" s="47">
        <v>21.9</v>
      </c>
      <c r="H224" s="52">
        <f t="shared" si="21"/>
        <v>0.87951807228915657</v>
      </c>
      <c r="I224" s="36">
        <v>24.9</v>
      </c>
      <c r="J224" s="32">
        <v>19.899999999999999</v>
      </c>
      <c r="K224" s="32">
        <v>19.899999999999999</v>
      </c>
      <c r="L224" s="32">
        <v>19.899999999999999</v>
      </c>
      <c r="M224" s="32">
        <v>19.899999999999999</v>
      </c>
      <c r="N224" s="32">
        <v>19.899999999999999</v>
      </c>
      <c r="O224" s="42">
        <v>25.9</v>
      </c>
      <c r="P224" s="65"/>
      <c r="Q224" s="59">
        <v>24.6</v>
      </c>
      <c r="R224" s="62"/>
    </row>
    <row r="225" spans="4:22" x14ac:dyDescent="0.3">
      <c r="D225" s="28" t="s">
        <v>396</v>
      </c>
      <c r="F225" s="11">
        <v>20.9</v>
      </c>
      <c r="G225" s="47">
        <v>21.9</v>
      </c>
      <c r="H225" s="52">
        <f t="shared" si="21"/>
        <v>0.87951807228915657</v>
      </c>
      <c r="I225" s="36">
        <v>24.9</v>
      </c>
      <c r="J225" s="32">
        <v>19.899999999999999</v>
      </c>
      <c r="K225" s="32">
        <v>19.899999999999999</v>
      </c>
      <c r="L225" s="32">
        <v>19.899999999999999</v>
      </c>
      <c r="M225" s="32">
        <v>19.899999999999999</v>
      </c>
      <c r="N225" s="32">
        <v>19.899999999999999</v>
      </c>
      <c r="O225" s="42">
        <v>25.9</v>
      </c>
      <c r="P225" s="65"/>
      <c r="Q225" s="59">
        <v>24.6</v>
      </c>
      <c r="R225" s="62"/>
    </row>
    <row r="226" spans="4:22" x14ac:dyDescent="0.3">
      <c r="D226" s="28" t="s">
        <v>395</v>
      </c>
      <c r="F226" s="11">
        <v>20.9</v>
      </c>
      <c r="G226" s="47">
        <v>21.9</v>
      </c>
      <c r="H226" s="52">
        <f t="shared" si="21"/>
        <v>0.87951807228915657</v>
      </c>
      <c r="I226" s="36">
        <v>24.9</v>
      </c>
      <c r="J226" s="32"/>
      <c r="K226" s="32"/>
      <c r="L226" s="32"/>
      <c r="M226" s="32"/>
      <c r="N226" s="32"/>
      <c r="O226" s="42">
        <v>25.9</v>
      </c>
      <c r="P226" s="65"/>
      <c r="Q226" s="59">
        <v>24.6</v>
      </c>
      <c r="R226" s="62"/>
    </row>
    <row r="227" spans="4:22" x14ac:dyDescent="0.3">
      <c r="D227" s="28" t="s">
        <v>408</v>
      </c>
      <c r="F227" s="11">
        <v>25.9</v>
      </c>
      <c r="G227" s="47">
        <v>21.9</v>
      </c>
      <c r="H227" s="52">
        <f t="shared" si="21"/>
        <v>0.84555984555984554</v>
      </c>
      <c r="I227" s="36">
        <v>25.9</v>
      </c>
      <c r="J227" s="32"/>
      <c r="K227" s="32"/>
      <c r="L227" s="32"/>
      <c r="M227" s="32"/>
      <c r="N227" s="32"/>
      <c r="O227" s="42">
        <v>25.9</v>
      </c>
      <c r="P227" s="65"/>
      <c r="Q227" s="59">
        <v>30.5</v>
      </c>
      <c r="R227" s="62"/>
    </row>
    <row r="228" spans="4:22" x14ac:dyDescent="0.3">
      <c r="D228" s="28" t="s">
        <v>407</v>
      </c>
      <c r="F228" s="11">
        <v>31.9</v>
      </c>
      <c r="G228" s="47">
        <v>31.9</v>
      </c>
      <c r="H228" s="52">
        <f t="shared" si="21"/>
        <v>1</v>
      </c>
      <c r="I228" s="36">
        <v>31.9</v>
      </c>
      <c r="J228" s="32"/>
      <c r="K228" s="32"/>
      <c r="L228" s="32"/>
      <c r="M228" s="32"/>
      <c r="N228" s="32"/>
      <c r="O228" s="42">
        <v>37.9</v>
      </c>
      <c r="P228" s="65"/>
      <c r="Q228" s="59">
        <v>37.6</v>
      </c>
      <c r="R228" s="62"/>
    </row>
    <row r="229" spans="4:22" x14ac:dyDescent="0.3">
      <c r="D229" s="29" t="s">
        <v>409</v>
      </c>
      <c r="F229" s="16">
        <v>17.899999999999999</v>
      </c>
      <c r="G229" s="47">
        <v>14.9</v>
      </c>
      <c r="H229" s="52">
        <f t="shared" si="21"/>
        <v>0.83240223463687157</v>
      </c>
      <c r="I229" s="37">
        <v>17.899999999999999</v>
      </c>
      <c r="J229" s="33">
        <v>13.9</v>
      </c>
      <c r="K229" s="33">
        <v>13.9</v>
      </c>
      <c r="L229" s="33">
        <v>13.9</v>
      </c>
      <c r="M229" s="33">
        <v>13.9</v>
      </c>
      <c r="N229" s="33">
        <v>13.9</v>
      </c>
      <c r="O229" s="42">
        <v>17.899999999999999</v>
      </c>
      <c r="P229" s="66"/>
      <c r="Q229" s="63">
        <v>21.1</v>
      </c>
      <c r="R229" s="62"/>
    </row>
    <row r="230" spans="4:22" s="6" customFormat="1" x14ac:dyDescent="0.3">
      <c r="D230" s="17" t="s">
        <v>448</v>
      </c>
      <c r="E230" s="13"/>
      <c r="F230" s="17"/>
      <c r="G230" s="48"/>
      <c r="H230" s="53"/>
      <c r="I230" s="38"/>
      <c r="J230" s="13"/>
      <c r="K230" s="13"/>
      <c r="L230" s="13"/>
      <c r="M230" s="13"/>
      <c r="N230" s="13"/>
      <c r="O230" s="43"/>
      <c r="P230" s="67"/>
      <c r="Q230" s="24"/>
      <c r="R230" s="39"/>
      <c r="T230"/>
      <c r="V230" s="71"/>
    </row>
    <row r="231" spans="4:22" s="6" customFormat="1" x14ac:dyDescent="0.3">
      <c r="D231" s="30" t="s">
        <v>441</v>
      </c>
      <c r="E231" s="22"/>
      <c r="F231" s="23"/>
      <c r="G231" s="48"/>
      <c r="H231" s="53"/>
      <c r="I231" s="38"/>
      <c r="J231" s="13"/>
      <c r="K231" s="13"/>
      <c r="L231" s="13"/>
      <c r="M231" s="13"/>
      <c r="N231" s="13"/>
      <c r="O231" s="43">
        <v>56.4</v>
      </c>
      <c r="P231" s="67"/>
      <c r="Q231" s="24">
        <v>56.4</v>
      </c>
      <c r="R231" s="39"/>
      <c r="T231"/>
      <c r="V231" s="71"/>
    </row>
    <row r="232" spans="4:22" s="6" customFormat="1" x14ac:dyDescent="0.3">
      <c r="D232" s="30" t="s">
        <v>442</v>
      </c>
      <c r="E232" s="22"/>
      <c r="F232" s="23"/>
      <c r="G232" s="48"/>
      <c r="H232" s="53"/>
      <c r="I232" s="38"/>
      <c r="J232" s="13"/>
      <c r="K232" s="13"/>
      <c r="L232" s="13"/>
      <c r="M232" s="13"/>
      <c r="N232" s="13"/>
      <c r="O232" s="43">
        <v>165.9</v>
      </c>
      <c r="P232" s="67"/>
      <c r="Q232" s="24">
        <v>165.9</v>
      </c>
      <c r="R232" s="39"/>
      <c r="T232"/>
      <c r="V232" s="71"/>
    </row>
    <row r="233" spans="4:22" s="6" customFormat="1" x14ac:dyDescent="0.3">
      <c r="D233" s="30" t="s">
        <v>439</v>
      </c>
      <c r="E233" s="22"/>
      <c r="F233" s="23"/>
      <c r="G233" s="48"/>
      <c r="H233" s="53"/>
      <c r="I233" s="38"/>
      <c r="J233" s="13"/>
      <c r="K233" s="13"/>
      <c r="L233" s="13"/>
      <c r="M233" s="13"/>
      <c r="N233" s="13"/>
      <c r="O233" s="43">
        <v>37.700000000000003</v>
      </c>
      <c r="P233" s="67"/>
      <c r="Q233" s="24">
        <v>37.700000000000003</v>
      </c>
      <c r="R233" s="39"/>
      <c r="T233"/>
      <c r="V233" s="71"/>
    </row>
    <row r="234" spans="4:22" s="6" customFormat="1" x14ac:dyDescent="0.3">
      <c r="D234" s="30" t="s">
        <v>443</v>
      </c>
      <c r="E234" s="22"/>
      <c r="F234" s="23"/>
      <c r="G234" s="48"/>
      <c r="H234" s="53"/>
      <c r="I234" s="38"/>
      <c r="J234" s="13"/>
      <c r="K234" s="13"/>
      <c r="L234" s="13"/>
      <c r="M234" s="13"/>
      <c r="N234" s="13"/>
      <c r="O234" s="43">
        <v>175.6</v>
      </c>
      <c r="P234" s="67"/>
      <c r="Q234" s="24">
        <v>175.6</v>
      </c>
      <c r="R234" s="39"/>
      <c r="T234"/>
      <c r="V234" s="71"/>
    </row>
    <row r="235" spans="4:22" s="6" customFormat="1" x14ac:dyDescent="0.3">
      <c r="D235" s="30" t="s">
        <v>444</v>
      </c>
      <c r="E235" s="22"/>
      <c r="F235" s="23"/>
      <c r="G235" s="48"/>
      <c r="H235" s="53"/>
      <c r="I235" s="38"/>
      <c r="J235" s="13"/>
      <c r="K235" s="13"/>
      <c r="L235" s="13"/>
      <c r="M235" s="13"/>
      <c r="N235" s="13"/>
      <c r="O235" s="43">
        <v>72.3</v>
      </c>
      <c r="P235" s="67"/>
      <c r="Q235" s="24">
        <v>72.3</v>
      </c>
      <c r="R235" s="39"/>
      <c r="T235"/>
      <c r="V235" s="71"/>
    </row>
    <row r="236" spans="4:22" s="6" customFormat="1" x14ac:dyDescent="0.3">
      <c r="D236" s="30" t="s">
        <v>56</v>
      </c>
      <c r="E236" s="22"/>
      <c r="F236" s="23"/>
      <c r="G236" s="48"/>
      <c r="H236" s="53"/>
      <c r="I236" s="38"/>
      <c r="J236" s="13"/>
      <c r="K236" s="13"/>
      <c r="L236" s="13"/>
      <c r="M236" s="13"/>
      <c r="N236" s="13"/>
      <c r="O236" s="43">
        <v>31.9</v>
      </c>
      <c r="P236" s="67"/>
      <c r="Q236" s="24">
        <v>31.9</v>
      </c>
      <c r="R236" s="39"/>
      <c r="T236"/>
      <c r="V236" s="71"/>
    </row>
    <row r="237" spans="4:22" s="6" customFormat="1" x14ac:dyDescent="0.3">
      <c r="D237" s="30" t="s">
        <v>445</v>
      </c>
      <c r="E237" s="22"/>
      <c r="F237" s="23"/>
      <c r="G237" s="48"/>
      <c r="H237" s="53"/>
      <c r="I237" s="38"/>
      <c r="J237" s="13"/>
      <c r="K237" s="13"/>
      <c r="L237" s="13"/>
      <c r="M237" s="13"/>
      <c r="N237" s="13"/>
      <c r="O237" s="43">
        <v>67.7</v>
      </c>
      <c r="P237" s="67"/>
      <c r="Q237" s="24">
        <v>67.7</v>
      </c>
      <c r="R237" s="39"/>
      <c r="T237"/>
      <c r="V237" s="71"/>
    </row>
    <row r="238" spans="4:22" s="6" customFormat="1" x14ac:dyDescent="0.3">
      <c r="D238" s="30" t="s">
        <v>446</v>
      </c>
      <c r="E238" s="22"/>
      <c r="F238" s="23"/>
      <c r="G238" s="48"/>
      <c r="H238" s="53"/>
      <c r="I238" s="38"/>
      <c r="J238" s="13"/>
      <c r="K238" s="13"/>
      <c r="L238" s="13"/>
      <c r="M238" s="13"/>
      <c r="N238" s="13"/>
      <c r="O238" s="43">
        <v>56.9</v>
      </c>
      <c r="P238" s="67"/>
      <c r="Q238" s="24">
        <v>56.9</v>
      </c>
      <c r="R238" s="39"/>
      <c r="T238"/>
      <c r="V238" s="71"/>
    </row>
    <row r="239" spans="4:22" s="6" customFormat="1" x14ac:dyDescent="0.3">
      <c r="D239" s="30" t="s">
        <v>447</v>
      </c>
      <c r="E239" s="22"/>
      <c r="F239" s="23"/>
      <c r="G239" s="48"/>
      <c r="H239" s="53"/>
      <c r="I239" s="38"/>
      <c r="J239" s="13"/>
      <c r="K239" s="13"/>
      <c r="L239" s="13"/>
      <c r="M239" s="13"/>
      <c r="N239" s="13"/>
      <c r="O239" s="43">
        <v>89.9</v>
      </c>
      <c r="P239" s="67"/>
      <c r="Q239" s="24">
        <v>89.9</v>
      </c>
      <c r="R239" s="39"/>
      <c r="T239"/>
      <c r="V239" s="71"/>
    </row>
    <row r="240" spans="4:22" s="6" customFormat="1" x14ac:dyDescent="0.3">
      <c r="D240" s="30" t="s">
        <v>449</v>
      </c>
      <c r="E240" s="22"/>
      <c r="F240" s="23"/>
      <c r="G240" s="48"/>
      <c r="H240" s="53"/>
      <c r="I240" s="38"/>
      <c r="J240" s="13"/>
      <c r="K240" s="13"/>
      <c r="L240" s="13"/>
      <c r="M240" s="13"/>
      <c r="N240" s="13"/>
      <c r="O240" s="43">
        <v>132.9</v>
      </c>
      <c r="P240" s="67"/>
      <c r="Q240" s="24">
        <v>132.9</v>
      </c>
      <c r="R240" s="39"/>
      <c r="T240"/>
      <c r="V240" s="71"/>
    </row>
    <row r="241" spans="4:22" s="6" customFormat="1" x14ac:dyDescent="0.3">
      <c r="D241" s="30" t="s">
        <v>450</v>
      </c>
      <c r="E241" s="22"/>
      <c r="F241" s="23"/>
      <c r="G241" s="48"/>
      <c r="H241" s="53"/>
      <c r="I241" s="38"/>
      <c r="J241" s="13"/>
      <c r="K241" s="13"/>
      <c r="L241" s="13"/>
      <c r="M241" s="13"/>
      <c r="N241" s="13"/>
      <c r="O241" s="43">
        <v>65.900000000000006</v>
      </c>
      <c r="P241" s="67"/>
      <c r="Q241" s="24">
        <v>65.900000000000006</v>
      </c>
      <c r="R241" s="39"/>
      <c r="V241" s="71"/>
    </row>
    <row r="242" spans="4:22" s="6" customFormat="1" x14ac:dyDescent="0.3">
      <c r="D242" s="30" t="s">
        <v>451</v>
      </c>
      <c r="E242" s="22"/>
      <c r="F242" s="23"/>
      <c r="G242" s="48"/>
      <c r="H242" s="53"/>
      <c r="I242" s="38"/>
      <c r="J242" s="13"/>
      <c r="K242" s="13"/>
      <c r="L242" s="13"/>
      <c r="M242" s="13"/>
      <c r="N242" s="13"/>
      <c r="O242" s="43">
        <v>30.8</v>
      </c>
      <c r="P242" s="67"/>
      <c r="Q242" s="24">
        <v>30.8</v>
      </c>
      <c r="R242" s="39"/>
      <c r="V242" s="71"/>
    </row>
    <row r="243" spans="4:22" s="6" customFormat="1" x14ac:dyDescent="0.3">
      <c r="D243" s="30" t="s">
        <v>452</v>
      </c>
      <c r="E243" s="22"/>
      <c r="F243" s="23"/>
      <c r="G243" s="48"/>
      <c r="H243" s="53"/>
      <c r="I243" s="38"/>
      <c r="J243" s="13"/>
      <c r="K243" s="13"/>
      <c r="L243" s="13"/>
      <c r="M243" s="13"/>
      <c r="N243" s="13"/>
      <c r="O243" s="43">
        <v>72.8</v>
      </c>
      <c r="P243" s="67"/>
      <c r="Q243" s="24">
        <v>72.8</v>
      </c>
      <c r="R243" s="39"/>
      <c r="V243" s="71"/>
    </row>
    <row r="244" spans="4:22" s="6" customFormat="1" x14ac:dyDescent="0.3">
      <c r="D244" s="30" t="s">
        <v>453</v>
      </c>
      <c r="E244" s="22"/>
      <c r="F244" s="23"/>
      <c r="G244" s="48"/>
      <c r="H244" s="53"/>
      <c r="I244" s="38"/>
      <c r="J244" s="13"/>
      <c r="K244" s="13"/>
      <c r="L244" s="13"/>
      <c r="M244" s="13"/>
      <c r="N244" s="13"/>
      <c r="O244" s="43">
        <v>92</v>
      </c>
      <c r="P244" s="67"/>
      <c r="Q244" s="24">
        <v>92</v>
      </c>
      <c r="R244" s="39"/>
      <c r="V244" s="71"/>
    </row>
    <row r="245" spans="4:22" s="6" customFormat="1" x14ac:dyDescent="0.3">
      <c r="D245" s="30" t="s">
        <v>454</v>
      </c>
      <c r="E245" s="22"/>
      <c r="F245" s="23"/>
      <c r="G245" s="48"/>
      <c r="H245" s="53"/>
      <c r="I245" s="38"/>
      <c r="J245" s="13"/>
      <c r="K245" s="13"/>
      <c r="L245" s="13"/>
      <c r="M245" s="13"/>
      <c r="N245" s="13"/>
      <c r="O245" s="43">
        <v>28.4</v>
      </c>
      <c r="P245" s="67"/>
      <c r="Q245" s="24">
        <v>28.4</v>
      </c>
      <c r="R245" s="39"/>
      <c r="V245" s="71"/>
    </row>
    <row r="246" spans="4:22" s="6" customFormat="1" x14ac:dyDescent="0.3">
      <c r="D246" s="30" t="s">
        <v>455</v>
      </c>
      <c r="E246" s="22"/>
      <c r="F246" s="23"/>
      <c r="G246" s="48"/>
      <c r="H246" s="53"/>
      <c r="I246" s="38"/>
      <c r="J246" s="13"/>
      <c r="K246" s="13"/>
      <c r="L246" s="13"/>
      <c r="M246" s="13"/>
      <c r="N246" s="13"/>
      <c r="O246" s="43">
        <v>46.8</v>
      </c>
      <c r="P246" s="67"/>
      <c r="Q246" s="24">
        <v>46.8</v>
      </c>
      <c r="R246" s="39"/>
      <c r="V246" s="71"/>
    </row>
    <row r="247" spans="4:22" s="6" customFormat="1" x14ac:dyDescent="0.3">
      <c r="D247" s="30" t="s">
        <v>456</v>
      </c>
      <c r="E247" s="22"/>
      <c r="F247" s="23"/>
      <c r="G247" s="48"/>
      <c r="H247" s="53"/>
      <c r="I247" s="38"/>
      <c r="J247" s="13"/>
      <c r="K247" s="13"/>
      <c r="L247" s="13"/>
      <c r="M247" s="13"/>
      <c r="N247" s="13"/>
      <c r="O247" s="43">
        <v>96.2</v>
      </c>
      <c r="P247" s="67"/>
      <c r="Q247" s="24">
        <v>96.2</v>
      </c>
      <c r="R247" s="39"/>
      <c r="V247" s="71"/>
    </row>
    <row r="248" spans="4:22" s="6" customFormat="1" x14ac:dyDescent="0.3">
      <c r="D248" s="30" t="s">
        <v>457</v>
      </c>
      <c r="E248" s="22"/>
      <c r="F248" s="23"/>
      <c r="G248" s="48"/>
      <c r="H248" s="53"/>
      <c r="I248" s="38"/>
      <c r="J248" s="13"/>
      <c r="K248" s="13"/>
      <c r="L248" s="13"/>
      <c r="M248" s="13"/>
      <c r="N248" s="13"/>
      <c r="O248" s="43">
        <v>47.6</v>
      </c>
      <c r="P248" s="67"/>
      <c r="Q248" s="24">
        <v>47.6</v>
      </c>
      <c r="R248" s="39"/>
      <c r="V248" s="71"/>
    </row>
    <row r="249" spans="4:22" s="6" customFormat="1" x14ac:dyDescent="0.3">
      <c r="D249" s="30" t="s">
        <v>458</v>
      </c>
      <c r="E249" s="22"/>
      <c r="F249" s="23"/>
      <c r="G249" s="48"/>
      <c r="H249" s="53"/>
      <c r="I249" s="38"/>
      <c r="J249" s="13"/>
      <c r="K249" s="13"/>
      <c r="L249" s="13"/>
      <c r="M249" s="13"/>
      <c r="N249" s="13"/>
      <c r="O249" s="43">
        <v>31.9</v>
      </c>
      <c r="P249" s="67"/>
      <c r="Q249" s="24">
        <v>31.9</v>
      </c>
      <c r="R249" s="39"/>
      <c r="V249" s="71"/>
    </row>
    <row r="250" spans="4:22" s="6" customFormat="1" x14ac:dyDescent="0.3">
      <c r="D250" s="30" t="s">
        <v>459</v>
      </c>
      <c r="E250" s="22"/>
      <c r="F250" s="23"/>
      <c r="G250" s="48"/>
      <c r="H250" s="53"/>
      <c r="I250" s="38"/>
      <c r="J250" s="13"/>
      <c r="K250" s="13"/>
      <c r="L250" s="13"/>
      <c r="M250" s="13"/>
      <c r="N250" s="13"/>
      <c r="O250" s="43"/>
      <c r="P250" s="67"/>
      <c r="Q250" s="24"/>
      <c r="R250" s="39"/>
      <c r="V250" s="71"/>
    </row>
    <row r="251" spans="4:22" s="6" customFormat="1" x14ac:dyDescent="0.3">
      <c r="D251" s="30" t="s">
        <v>460</v>
      </c>
      <c r="E251" s="22"/>
      <c r="F251" s="23"/>
      <c r="G251" s="48"/>
      <c r="H251" s="53"/>
      <c r="I251" s="38"/>
      <c r="J251" s="13"/>
      <c r="K251" s="13"/>
      <c r="L251" s="13"/>
      <c r="M251" s="13"/>
      <c r="N251" s="13"/>
      <c r="O251" s="43">
        <v>139.1</v>
      </c>
      <c r="P251" s="67"/>
      <c r="Q251" s="24">
        <v>139.1</v>
      </c>
      <c r="R251" s="39"/>
      <c r="V251" s="71"/>
    </row>
    <row r="252" spans="4:22" s="6" customFormat="1" x14ac:dyDescent="0.3">
      <c r="D252" s="30" t="s">
        <v>440</v>
      </c>
      <c r="E252" s="22"/>
      <c r="F252" s="23"/>
      <c r="G252" s="48"/>
      <c r="H252" s="53"/>
      <c r="I252" s="38"/>
      <c r="J252" s="22"/>
      <c r="K252" s="22"/>
      <c r="L252" s="22"/>
      <c r="M252" s="22"/>
      <c r="N252" s="22"/>
      <c r="O252" s="43">
        <v>30.6</v>
      </c>
      <c r="P252" s="67"/>
      <c r="Q252" s="24">
        <v>30.6</v>
      </c>
      <c r="R252" s="39"/>
      <c r="V252" s="71"/>
    </row>
    <row r="253" spans="4:22" s="6" customFormat="1" x14ac:dyDescent="0.3">
      <c r="D253" s="30" t="s">
        <v>461</v>
      </c>
      <c r="E253" s="22"/>
      <c r="F253" s="23"/>
      <c r="G253" s="48"/>
      <c r="H253" s="53"/>
      <c r="I253" s="38"/>
      <c r="J253" s="22"/>
      <c r="K253" s="22"/>
      <c r="L253" s="22"/>
      <c r="M253" s="22"/>
      <c r="N253" s="22"/>
      <c r="O253" s="43">
        <v>68.400000000000006</v>
      </c>
      <c r="P253" s="67"/>
      <c r="Q253" s="24">
        <v>68.400000000000006</v>
      </c>
      <c r="R253" s="39"/>
      <c r="V253" s="71"/>
    </row>
    <row r="254" spans="4:22" s="6" customFormat="1" x14ac:dyDescent="0.3">
      <c r="D254" s="30" t="s">
        <v>462</v>
      </c>
      <c r="E254" s="22"/>
      <c r="F254" s="23"/>
      <c r="G254" s="48"/>
      <c r="H254" s="53"/>
      <c r="I254" s="38"/>
      <c r="J254" s="22"/>
      <c r="K254" s="22"/>
      <c r="L254" s="22"/>
      <c r="M254" s="22"/>
      <c r="N254" s="22"/>
      <c r="O254" s="43">
        <v>106.2</v>
      </c>
      <c r="P254" s="67"/>
      <c r="Q254" s="24">
        <v>106.2</v>
      </c>
      <c r="R254" s="39"/>
      <c r="V254" s="71"/>
    </row>
    <row r="255" spans="4:22" s="6" customFormat="1" x14ac:dyDescent="0.3">
      <c r="D255" s="30" t="s">
        <v>463</v>
      </c>
      <c r="E255" s="22"/>
      <c r="F255" s="23"/>
      <c r="G255" s="48"/>
      <c r="H255" s="53"/>
      <c r="I255" s="38"/>
      <c r="J255" s="22"/>
      <c r="K255" s="22"/>
      <c r="L255" s="22"/>
      <c r="M255" s="22"/>
      <c r="N255" s="22"/>
      <c r="O255" s="43">
        <v>61.2</v>
      </c>
      <c r="P255" s="67"/>
      <c r="Q255" s="24">
        <v>61.2</v>
      </c>
      <c r="R255" s="39"/>
      <c r="V255" s="71"/>
    </row>
    <row r="256" spans="4:22" s="6" customFormat="1" x14ac:dyDescent="0.3">
      <c r="D256" s="30" t="s">
        <v>464</v>
      </c>
      <c r="E256" s="22"/>
      <c r="F256" s="23"/>
      <c r="G256" s="48"/>
      <c r="H256" s="53"/>
      <c r="I256" s="38"/>
      <c r="J256" s="22"/>
      <c r="K256" s="22"/>
      <c r="L256" s="22"/>
      <c r="M256" s="22"/>
      <c r="N256" s="22"/>
      <c r="O256" s="43"/>
      <c r="P256" s="67"/>
      <c r="Q256" s="24"/>
      <c r="R256" s="39"/>
      <c r="V256" s="71"/>
    </row>
    <row r="257" spans="4:22" s="6" customFormat="1" x14ac:dyDescent="0.3">
      <c r="D257" s="30" t="s">
        <v>465</v>
      </c>
      <c r="E257" s="22"/>
      <c r="F257" s="23"/>
      <c r="G257" s="48"/>
      <c r="H257" s="53"/>
      <c r="I257" s="38"/>
      <c r="J257" s="22"/>
      <c r="K257" s="22"/>
      <c r="L257" s="22"/>
      <c r="M257" s="22"/>
      <c r="N257" s="22"/>
      <c r="O257" s="43"/>
      <c r="P257" s="67"/>
      <c r="Q257" s="24"/>
      <c r="R257" s="39"/>
      <c r="V257" s="71"/>
    </row>
    <row r="258" spans="4:22" s="6" customFormat="1" x14ac:dyDescent="0.3">
      <c r="D258" s="30" t="s">
        <v>466</v>
      </c>
      <c r="E258" s="22"/>
      <c r="F258" s="23"/>
      <c r="G258" s="48"/>
      <c r="H258" s="53"/>
      <c r="I258" s="38"/>
      <c r="J258" s="22"/>
      <c r="K258" s="22"/>
      <c r="L258" s="22"/>
      <c r="M258" s="22"/>
      <c r="N258" s="22"/>
      <c r="O258" s="43">
        <v>73</v>
      </c>
      <c r="P258" s="67"/>
      <c r="Q258" s="24">
        <v>73</v>
      </c>
      <c r="R258" s="39"/>
      <c r="V258" s="71"/>
    </row>
    <row r="259" spans="4:22" s="6" customFormat="1" x14ac:dyDescent="0.3">
      <c r="D259" s="31"/>
      <c r="E259" s="19"/>
      <c r="F259" s="20"/>
      <c r="G259" s="49"/>
      <c r="H259" s="54"/>
      <c r="I259" s="21"/>
      <c r="J259" s="19"/>
      <c r="K259" s="19"/>
      <c r="L259" s="19"/>
      <c r="M259" s="19"/>
      <c r="N259" s="19"/>
      <c r="O259" s="44"/>
      <c r="P259" s="68"/>
      <c r="Q259" s="25"/>
      <c r="R259" s="39"/>
      <c r="V259" s="71"/>
    </row>
    <row r="260" spans="4:22" s="6" customFormat="1" x14ac:dyDescent="0.3">
      <c r="D260" s="31"/>
      <c r="E260" s="13"/>
      <c r="F260" s="17"/>
      <c r="G260" s="48"/>
      <c r="H260" s="53"/>
      <c r="I260" s="14"/>
      <c r="J260" s="13"/>
      <c r="K260" s="13"/>
      <c r="L260" s="13"/>
      <c r="M260" s="13"/>
      <c r="N260" s="13"/>
      <c r="O260" s="43"/>
      <c r="P260" s="67"/>
      <c r="Q260" s="24"/>
      <c r="R260" s="39"/>
      <c r="V260" s="71"/>
    </row>
    <row r="261" spans="4:22" s="6" customFormat="1" x14ac:dyDescent="0.3">
      <c r="D261" s="31"/>
      <c r="E261" s="13"/>
      <c r="F261" s="17"/>
      <c r="G261" s="48"/>
      <c r="H261" s="53"/>
      <c r="I261" s="14"/>
      <c r="J261" s="13"/>
      <c r="K261" s="13"/>
      <c r="L261" s="13"/>
      <c r="M261" s="13"/>
      <c r="N261" s="13"/>
      <c r="O261" s="43"/>
      <c r="P261" s="67"/>
      <c r="Q261" s="24"/>
      <c r="R261" s="39"/>
      <c r="V261" s="71"/>
    </row>
    <row r="262" spans="4:22" s="6" customFormat="1" x14ac:dyDescent="0.3">
      <c r="D262" s="31"/>
      <c r="E262" s="13"/>
      <c r="F262" s="17"/>
      <c r="G262" s="48"/>
      <c r="H262" s="53"/>
      <c r="I262" s="14"/>
      <c r="J262" s="13"/>
      <c r="K262" s="13"/>
      <c r="L262" s="13"/>
      <c r="M262" s="13"/>
      <c r="N262" s="13"/>
      <c r="O262" s="43"/>
      <c r="P262" s="67"/>
      <c r="Q262" s="24"/>
      <c r="R262" s="39"/>
      <c r="V262" s="71"/>
    </row>
    <row r="263" spans="4:22" s="6" customFormat="1" x14ac:dyDescent="0.3">
      <c r="D263" s="31"/>
      <c r="E263" s="13"/>
      <c r="F263" s="17"/>
      <c r="G263" s="48"/>
      <c r="H263" s="53"/>
      <c r="I263" s="14"/>
      <c r="J263" s="13"/>
      <c r="K263" s="13"/>
      <c r="L263" s="13"/>
      <c r="M263" s="13"/>
      <c r="N263" s="13"/>
      <c r="O263" s="43"/>
      <c r="P263" s="67"/>
      <c r="Q263" s="24"/>
      <c r="R263" s="39"/>
      <c r="V263" s="71"/>
    </row>
    <row r="264" spans="4:22" s="6" customFormat="1" x14ac:dyDescent="0.3">
      <c r="D264" s="31"/>
      <c r="E264" s="13"/>
      <c r="F264" s="17"/>
      <c r="G264" s="48"/>
      <c r="H264" s="53"/>
      <c r="I264" s="14"/>
      <c r="J264" s="13"/>
      <c r="K264" s="13"/>
      <c r="L264" s="13"/>
      <c r="M264" s="13"/>
      <c r="N264" s="13"/>
      <c r="O264" s="43"/>
      <c r="P264" s="67"/>
      <c r="Q264" s="24"/>
      <c r="R264" s="39"/>
      <c r="V264" s="71"/>
    </row>
    <row r="265" spans="4:22" s="6" customFormat="1" x14ac:dyDescent="0.3">
      <c r="D265" s="31"/>
      <c r="E265" s="13"/>
      <c r="F265" s="17"/>
      <c r="G265" s="48"/>
      <c r="H265" s="53"/>
      <c r="I265" s="14"/>
      <c r="J265" s="13"/>
      <c r="K265" s="13"/>
      <c r="L265" s="13"/>
      <c r="M265" s="13"/>
      <c r="N265" s="13"/>
      <c r="O265" s="43"/>
      <c r="P265" s="67"/>
      <c r="Q265" s="24"/>
      <c r="R265" s="39"/>
      <c r="V265" s="71"/>
    </row>
    <row r="266" spans="4:22" s="6" customFormat="1" x14ac:dyDescent="0.3">
      <c r="D266" s="31"/>
      <c r="E266" s="13"/>
      <c r="F266" s="17"/>
      <c r="G266" s="48"/>
      <c r="H266" s="53"/>
      <c r="I266" s="14"/>
      <c r="J266" s="13"/>
      <c r="K266" s="13"/>
      <c r="L266" s="13"/>
      <c r="M266" s="13"/>
      <c r="N266" s="13"/>
      <c r="O266" s="43"/>
      <c r="P266" s="67"/>
      <c r="Q266" s="24"/>
      <c r="R266" s="39"/>
      <c r="V266" s="71"/>
    </row>
    <row r="267" spans="4:22" s="6" customFormat="1" x14ac:dyDescent="0.3">
      <c r="D267" s="31"/>
      <c r="E267" s="13"/>
      <c r="F267" s="17"/>
      <c r="G267" s="48"/>
      <c r="H267" s="53"/>
      <c r="I267" s="14"/>
      <c r="J267" s="13"/>
      <c r="K267" s="13"/>
      <c r="L267" s="13"/>
      <c r="M267" s="13"/>
      <c r="N267" s="13"/>
      <c r="O267" s="43"/>
      <c r="P267" s="67"/>
      <c r="Q267" s="24"/>
      <c r="R267" s="39"/>
      <c r="V267" s="71"/>
    </row>
    <row r="268" spans="4:22" s="6" customFormat="1" x14ac:dyDescent="0.3">
      <c r="D268" s="18"/>
      <c r="F268" s="18"/>
      <c r="G268" s="50"/>
      <c r="H268" s="55"/>
      <c r="I268" s="8"/>
      <c r="O268" s="45"/>
      <c r="P268" s="69"/>
      <c r="Q268" s="18"/>
      <c r="R268" s="40"/>
      <c r="V268" s="71"/>
    </row>
    <row r="269" spans="4:22" s="6" customFormat="1" x14ac:dyDescent="0.3">
      <c r="D269" s="18"/>
      <c r="F269" s="18"/>
      <c r="G269" s="50"/>
      <c r="H269" s="55"/>
      <c r="I269" s="8"/>
      <c r="O269" s="45"/>
      <c r="P269" s="69"/>
      <c r="Q269" s="18"/>
      <c r="R269" s="40"/>
      <c r="V269" s="71"/>
    </row>
    <row r="270" spans="4:22" s="6" customFormat="1" x14ac:dyDescent="0.3">
      <c r="D270" s="18"/>
      <c r="F270" s="18"/>
      <c r="G270" s="50"/>
      <c r="H270" s="55"/>
      <c r="I270" s="8"/>
      <c r="O270" s="45"/>
      <c r="P270" s="69"/>
      <c r="Q270" s="18"/>
      <c r="R270" s="40"/>
      <c r="V270" s="71"/>
    </row>
    <row r="271" spans="4:22" s="6" customFormat="1" x14ac:dyDescent="0.3">
      <c r="D271" s="18"/>
      <c r="F271" s="18"/>
      <c r="G271" s="50"/>
      <c r="H271" s="55"/>
      <c r="I271" s="8"/>
      <c r="O271" s="45"/>
      <c r="P271" s="69"/>
      <c r="Q271" s="18"/>
      <c r="R271" s="40"/>
      <c r="V271" s="71"/>
    </row>
    <row r="272" spans="4:22" s="6" customFormat="1" x14ac:dyDescent="0.3">
      <c r="D272" s="18"/>
      <c r="F272" s="18"/>
      <c r="G272" s="50"/>
      <c r="H272" s="55"/>
      <c r="I272" s="8"/>
      <c r="O272" s="45"/>
      <c r="P272" s="69"/>
      <c r="Q272" s="18"/>
      <c r="R272" s="40"/>
      <c r="V272" s="71"/>
    </row>
    <row r="273" spans="4:22" s="6" customFormat="1" x14ac:dyDescent="0.3">
      <c r="D273" s="18"/>
      <c r="F273" s="18"/>
      <c r="G273" s="50"/>
      <c r="H273" s="55"/>
      <c r="I273" s="8"/>
      <c r="O273" s="45"/>
      <c r="P273" s="69"/>
      <c r="Q273" s="18"/>
      <c r="R273" s="40"/>
      <c r="V273" s="71"/>
    </row>
    <row r="274" spans="4:22" s="6" customFormat="1" x14ac:dyDescent="0.3">
      <c r="D274" s="18"/>
      <c r="F274" s="18"/>
      <c r="G274" s="50"/>
      <c r="H274" s="55"/>
      <c r="I274" s="8"/>
      <c r="O274" s="45"/>
      <c r="P274" s="69"/>
      <c r="Q274" s="18"/>
      <c r="R274" s="40"/>
      <c r="V274" s="71"/>
    </row>
    <row r="275" spans="4:22" s="6" customFormat="1" x14ac:dyDescent="0.3">
      <c r="D275" s="18"/>
      <c r="F275" s="18"/>
      <c r="G275" s="50"/>
      <c r="H275" s="55"/>
      <c r="I275" s="8"/>
      <c r="O275" s="45"/>
      <c r="P275" s="69"/>
      <c r="Q275" s="18"/>
      <c r="R275" s="40"/>
      <c r="V275" s="71"/>
    </row>
    <row r="276" spans="4:22" s="6" customFormat="1" x14ac:dyDescent="0.3">
      <c r="D276" s="18"/>
      <c r="F276" s="18"/>
      <c r="G276" s="50"/>
      <c r="H276" s="55"/>
      <c r="I276" s="8"/>
      <c r="O276" s="45"/>
      <c r="P276" s="69"/>
      <c r="Q276" s="18"/>
      <c r="R276" s="40"/>
      <c r="V276" s="71"/>
    </row>
    <row r="277" spans="4:22" s="6" customFormat="1" x14ac:dyDescent="0.3">
      <c r="D277" s="18"/>
      <c r="F277" s="18"/>
      <c r="G277" s="50"/>
      <c r="H277" s="55"/>
      <c r="I277" s="8"/>
      <c r="O277" s="45"/>
      <c r="P277" s="69"/>
      <c r="Q277" s="18"/>
      <c r="R277" s="40"/>
      <c r="V277" s="71"/>
    </row>
    <row r="278" spans="4:22" s="6" customFormat="1" x14ac:dyDescent="0.3">
      <c r="D278" s="18"/>
      <c r="F278" s="18"/>
      <c r="G278" s="50"/>
      <c r="H278" s="55"/>
      <c r="I278" s="8"/>
      <c r="O278" s="45"/>
      <c r="P278" s="69"/>
      <c r="Q278" s="18"/>
      <c r="R278" s="40"/>
      <c r="V278" s="71"/>
    </row>
    <row r="279" spans="4:22" s="6" customFormat="1" x14ac:dyDescent="0.3">
      <c r="D279" s="18"/>
      <c r="F279" s="18"/>
      <c r="G279" s="50"/>
      <c r="H279" s="55"/>
      <c r="I279" s="8"/>
      <c r="O279" s="45"/>
      <c r="P279" s="69"/>
      <c r="Q279" s="18"/>
      <c r="R279" s="40"/>
      <c r="V279" s="71"/>
    </row>
    <row r="280" spans="4:22" s="6" customFormat="1" x14ac:dyDescent="0.3">
      <c r="D280" s="18"/>
      <c r="F280" s="18"/>
      <c r="G280" s="50"/>
      <c r="H280" s="55"/>
      <c r="I280" s="8"/>
      <c r="O280" s="45"/>
      <c r="P280" s="69"/>
      <c r="Q280" s="18"/>
      <c r="R280" s="40"/>
      <c r="V280" s="71"/>
    </row>
    <row r="281" spans="4:22" s="6" customFormat="1" x14ac:dyDescent="0.3">
      <c r="D281" s="18"/>
      <c r="F281" s="18"/>
      <c r="G281" s="50"/>
      <c r="H281" s="55"/>
      <c r="I281" s="8"/>
      <c r="O281" s="45"/>
      <c r="P281" s="69"/>
      <c r="Q281" s="18"/>
      <c r="R281" s="40"/>
      <c r="V281" s="71"/>
    </row>
    <row r="282" spans="4:22" s="6" customFormat="1" x14ac:dyDescent="0.3">
      <c r="D282" s="18"/>
      <c r="F282" s="18"/>
      <c r="G282" s="50"/>
      <c r="H282" s="55"/>
      <c r="I282" s="8"/>
      <c r="O282" s="45"/>
      <c r="P282" s="69"/>
      <c r="Q282" s="18"/>
      <c r="R282" s="40"/>
      <c r="V282" s="71"/>
    </row>
    <row r="283" spans="4:22" s="6" customFormat="1" x14ac:dyDescent="0.3">
      <c r="D283" s="18"/>
      <c r="F283" s="18"/>
      <c r="G283" s="50"/>
      <c r="H283" s="55"/>
      <c r="I283" s="8"/>
      <c r="O283" s="45"/>
      <c r="P283" s="69"/>
      <c r="Q283" s="18"/>
      <c r="R283" s="40"/>
      <c r="V283" s="71"/>
    </row>
    <row r="284" spans="4:22" s="6" customFormat="1" x14ac:dyDescent="0.3">
      <c r="D284" s="18"/>
      <c r="F284" s="18"/>
      <c r="G284" s="50"/>
      <c r="H284" s="55"/>
      <c r="I284" s="8"/>
      <c r="O284" s="45"/>
      <c r="P284" s="69"/>
      <c r="Q284" s="18"/>
      <c r="R284" s="40"/>
      <c r="V284" s="71"/>
    </row>
    <row r="285" spans="4:22" s="6" customFormat="1" x14ac:dyDescent="0.3">
      <c r="D285" s="18"/>
      <c r="F285" s="18"/>
      <c r="G285" s="50"/>
      <c r="H285" s="55"/>
      <c r="I285" s="8"/>
      <c r="O285" s="45"/>
      <c r="P285" s="69"/>
      <c r="Q285" s="18"/>
      <c r="R285" s="40"/>
      <c r="V285" s="71"/>
    </row>
    <row r="286" spans="4:22" s="6" customFormat="1" x14ac:dyDescent="0.3">
      <c r="D286" s="18"/>
      <c r="F286" s="18"/>
      <c r="G286" s="50"/>
      <c r="H286" s="55"/>
      <c r="I286" s="8"/>
      <c r="O286" s="45"/>
      <c r="P286" s="69"/>
      <c r="Q286" s="18"/>
      <c r="R286" s="40"/>
      <c r="V286" s="71"/>
    </row>
    <row r="287" spans="4:22" s="6" customFormat="1" x14ac:dyDescent="0.3">
      <c r="D287" s="18"/>
      <c r="F287" s="18"/>
      <c r="G287" s="50"/>
      <c r="H287" s="55"/>
      <c r="I287" s="8"/>
      <c r="O287" s="45"/>
      <c r="P287" s="69"/>
      <c r="Q287" s="18"/>
      <c r="R287" s="40"/>
      <c r="V287" s="71"/>
    </row>
    <row r="288" spans="4:22" s="6" customFormat="1" x14ac:dyDescent="0.3">
      <c r="D288" s="18"/>
      <c r="F288" s="18"/>
      <c r="G288" s="50"/>
      <c r="H288" s="55"/>
      <c r="I288" s="8"/>
      <c r="O288" s="45"/>
      <c r="P288" s="69"/>
      <c r="Q288" s="18"/>
      <c r="R288" s="40"/>
      <c r="V288" s="71"/>
    </row>
    <row r="289" spans="4:22" s="6" customFormat="1" x14ac:dyDescent="0.3">
      <c r="D289" s="18"/>
      <c r="F289" s="18"/>
      <c r="G289" s="50"/>
      <c r="H289" s="55"/>
      <c r="I289" s="8"/>
      <c r="O289" s="45"/>
      <c r="P289" s="69"/>
      <c r="Q289" s="18"/>
      <c r="R289" s="40"/>
      <c r="V289" s="71"/>
    </row>
    <row r="290" spans="4:22" s="6" customFormat="1" x14ac:dyDescent="0.3">
      <c r="D290" s="18"/>
      <c r="F290" s="18"/>
      <c r="G290" s="50"/>
      <c r="H290" s="55"/>
      <c r="I290" s="8"/>
      <c r="O290" s="45"/>
      <c r="P290" s="69"/>
      <c r="Q290" s="18"/>
      <c r="R290" s="40"/>
      <c r="V290" s="71"/>
    </row>
    <row r="291" spans="4:22" s="6" customFormat="1" x14ac:dyDescent="0.3">
      <c r="D291" s="18"/>
      <c r="F291" s="18"/>
      <c r="G291" s="50"/>
      <c r="H291" s="55"/>
      <c r="I291" s="8"/>
      <c r="O291" s="45"/>
      <c r="P291" s="69"/>
      <c r="Q291" s="18"/>
      <c r="R291" s="40"/>
      <c r="V291" s="71"/>
    </row>
    <row r="292" spans="4:22" s="6" customFormat="1" x14ac:dyDescent="0.3">
      <c r="D292" s="18"/>
      <c r="F292" s="18"/>
      <c r="G292" s="50"/>
      <c r="H292" s="55"/>
      <c r="I292" s="8"/>
      <c r="O292" s="45"/>
      <c r="P292" s="69"/>
      <c r="Q292" s="18"/>
      <c r="R292" s="40"/>
      <c r="V292" s="71"/>
    </row>
    <row r="293" spans="4:22" s="6" customFormat="1" x14ac:dyDescent="0.3">
      <c r="D293" s="18"/>
      <c r="F293" s="18"/>
      <c r="G293" s="50"/>
      <c r="H293" s="55"/>
      <c r="I293" s="8"/>
      <c r="O293" s="45"/>
      <c r="P293" s="69"/>
      <c r="Q293" s="18"/>
      <c r="R293" s="40"/>
      <c r="V293" s="71"/>
    </row>
    <row r="294" spans="4:22" s="6" customFormat="1" x14ac:dyDescent="0.3">
      <c r="D294" s="18"/>
      <c r="F294" s="18"/>
      <c r="G294" s="50"/>
      <c r="H294" s="55"/>
      <c r="I294" s="8"/>
      <c r="O294" s="45"/>
      <c r="P294" s="69"/>
      <c r="Q294" s="18"/>
      <c r="R294" s="40"/>
      <c r="V294" s="71"/>
    </row>
    <row r="295" spans="4:22" s="6" customFormat="1" x14ac:dyDescent="0.3">
      <c r="D295" s="18"/>
      <c r="F295" s="18"/>
      <c r="G295" s="50"/>
      <c r="H295" s="55"/>
      <c r="I295" s="8"/>
      <c r="O295" s="45"/>
      <c r="P295" s="69"/>
      <c r="Q295" s="18"/>
      <c r="R295" s="40"/>
      <c r="V295" s="71"/>
    </row>
    <row r="296" spans="4:22" s="6" customFormat="1" x14ac:dyDescent="0.3">
      <c r="D296" s="18"/>
      <c r="F296" s="18"/>
      <c r="G296" s="50"/>
      <c r="H296" s="55"/>
      <c r="I296" s="8"/>
      <c r="O296" s="45"/>
      <c r="P296" s="69"/>
      <c r="Q296" s="18"/>
      <c r="R296" s="40"/>
      <c r="V296" s="71"/>
    </row>
    <row r="297" spans="4:22" s="6" customFormat="1" x14ac:dyDescent="0.3">
      <c r="D297" s="18"/>
      <c r="F297" s="18"/>
      <c r="G297" s="50"/>
      <c r="H297" s="55"/>
      <c r="I297" s="8"/>
      <c r="O297" s="45"/>
      <c r="P297" s="69"/>
      <c r="Q297" s="18"/>
      <c r="R297" s="40"/>
      <c r="V297" s="71"/>
    </row>
    <row r="298" spans="4:22" s="6" customFormat="1" x14ac:dyDescent="0.3">
      <c r="D298" s="18"/>
      <c r="F298" s="18"/>
      <c r="G298" s="50"/>
      <c r="H298" s="55"/>
      <c r="I298" s="8"/>
      <c r="O298" s="45"/>
      <c r="P298" s="69"/>
      <c r="Q298" s="18"/>
      <c r="R298" s="40"/>
      <c r="V298" s="71"/>
    </row>
    <row r="299" spans="4:22" s="6" customFormat="1" x14ac:dyDescent="0.3">
      <c r="D299" s="18"/>
      <c r="F299" s="18"/>
      <c r="G299" s="50"/>
      <c r="H299" s="55"/>
      <c r="I299" s="8"/>
      <c r="O299" s="45"/>
      <c r="P299" s="69"/>
      <c r="Q299" s="18"/>
      <c r="R299" s="40"/>
      <c r="V299" s="71"/>
    </row>
    <row r="300" spans="4:22" s="6" customFormat="1" x14ac:dyDescent="0.3">
      <c r="D300" s="18"/>
      <c r="F300" s="18"/>
      <c r="G300" s="50"/>
      <c r="H300" s="55"/>
      <c r="I300" s="8"/>
      <c r="O300" s="45"/>
      <c r="P300" s="69"/>
      <c r="Q300" s="18"/>
      <c r="R300" s="40"/>
      <c r="V300" s="71"/>
    </row>
    <row r="301" spans="4:22" s="6" customFormat="1" x14ac:dyDescent="0.3">
      <c r="D301" s="18"/>
      <c r="F301" s="18"/>
      <c r="G301" s="50"/>
      <c r="H301" s="55"/>
      <c r="I301" s="8"/>
      <c r="O301" s="45"/>
      <c r="P301" s="69"/>
      <c r="Q301" s="18"/>
      <c r="R301" s="40"/>
      <c r="V301" s="71"/>
    </row>
    <row r="302" spans="4:22" s="6" customFormat="1" x14ac:dyDescent="0.3">
      <c r="D302" s="18"/>
      <c r="F302" s="18"/>
      <c r="G302" s="50"/>
      <c r="H302" s="55"/>
      <c r="I302" s="8"/>
      <c r="O302" s="45"/>
      <c r="P302" s="69"/>
      <c r="Q302" s="18"/>
      <c r="R302" s="40"/>
      <c r="V302" s="71"/>
    </row>
    <row r="303" spans="4:22" s="6" customFormat="1" x14ac:dyDescent="0.3">
      <c r="D303" s="18"/>
      <c r="F303" s="18"/>
      <c r="G303" s="50"/>
      <c r="H303" s="55"/>
      <c r="I303" s="8"/>
      <c r="O303" s="45"/>
      <c r="P303" s="69"/>
      <c r="Q303" s="18"/>
      <c r="R303" s="40"/>
      <c r="V303" s="71"/>
    </row>
    <row r="304" spans="4:22" s="6" customFormat="1" x14ac:dyDescent="0.3">
      <c r="D304" s="18"/>
      <c r="F304" s="18"/>
      <c r="G304" s="50"/>
      <c r="H304" s="55"/>
      <c r="I304" s="8"/>
      <c r="O304" s="45"/>
      <c r="P304" s="69"/>
      <c r="Q304" s="18"/>
      <c r="R304" s="40"/>
      <c r="V304" s="71"/>
    </row>
    <row r="305" spans="4:22" s="6" customFormat="1" x14ac:dyDescent="0.3">
      <c r="D305" s="18"/>
      <c r="F305" s="18"/>
      <c r="G305" s="50"/>
      <c r="H305" s="55"/>
      <c r="I305" s="8"/>
      <c r="O305" s="45"/>
      <c r="P305" s="69"/>
      <c r="Q305" s="18"/>
      <c r="R305" s="40"/>
      <c r="V305" s="71"/>
    </row>
    <row r="306" spans="4:22" s="6" customFormat="1" x14ac:dyDescent="0.3">
      <c r="D306" s="18"/>
      <c r="F306" s="18"/>
      <c r="G306" s="50"/>
      <c r="H306" s="55"/>
      <c r="I306" s="8"/>
      <c r="O306" s="45"/>
      <c r="P306" s="69"/>
      <c r="Q306" s="18"/>
      <c r="R306" s="40"/>
      <c r="V306" s="71"/>
    </row>
    <row r="307" spans="4:22" s="6" customFormat="1" x14ac:dyDescent="0.3">
      <c r="D307" s="18"/>
      <c r="F307" s="18"/>
      <c r="G307" s="50"/>
      <c r="H307" s="55"/>
      <c r="I307" s="8"/>
      <c r="O307" s="45"/>
      <c r="P307" s="69"/>
      <c r="Q307" s="18"/>
      <c r="R307" s="40"/>
      <c r="V307" s="71"/>
    </row>
    <row r="308" spans="4:22" s="6" customFormat="1" x14ac:dyDescent="0.3">
      <c r="D308" s="18"/>
      <c r="F308" s="18"/>
      <c r="G308" s="50"/>
      <c r="H308" s="55"/>
      <c r="I308" s="8"/>
      <c r="O308" s="45"/>
      <c r="P308" s="69"/>
      <c r="Q308" s="18"/>
      <c r="R308" s="40"/>
      <c r="V308" s="71"/>
    </row>
    <row r="309" spans="4:22" s="6" customFormat="1" x14ac:dyDescent="0.3">
      <c r="D309" s="18"/>
      <c r="F309" s="18"/>
      <c r="G309" s="50"/>
      <c r="H309" s="55"/>
      <c r="I309" s="8"/>
      <c r="O309" s="45"/>
      <c r="P309" s="69"/>
      <c r="Q309" s="18"/>
      <c r="R309" s="40"/>
      <c r="V309" s="71"/>
    </row>
    <row r="310" spans="4:22" s="6" customFormat="1" x14ac:dyDescent="0.3">
      <c r="D310" s="18"/>
      <c r="F310" s="18"/>
      <c r="G310" s="50"/>
      <c r="H310" s="55"/>
      <c r="I310" s="8"/>
      <c r="O310" s="45"/>
      <c r="P310" s="69"/>
      <c r="Q310" s="18"/>
      <c r="R310" s="40"/>
      <c r="V310" s="71"/>
    </row>
    <row r="311" spans="4:22" s="6" customFormat="1" x14ac:dyDescent="0.3">
      <c r="D311" s="18"/>
      <c r="F311" s="18"/>
      <c r="G311" s="50"/>
      <c r="H311" s="55"/>
      <c r="I311" s="8"/>
      <c r="O311" s="45"/>
      <c r="P311" s="69"/>
      <c r="Q311" s="18"/>
      <c r="R311" s="40"/>
      <c r="V311" s="71"/>
    </row>
    <row r="312" spans="4:22" s="6" customFormat="1" x14ac:dyDescent="0.3">
      <c r="D312" s="18"/>
      <c r="F312" s="18"/>
      <c r="G312" s="50"/>
      <c r="H312" s="55"/>
      <c r="I312" s="8"/>
      <c r="O312" s="45"/>
      <c r="P312" s="69"/>
      <c r="Q312" s="18"/>
      <c r="R312" s="40"/>
      <c r="V312" s="71"/>
    </row>
    <row r="313" spans="4:22" s="6" customFormat="1" x14ac:dyDescent="0.3">
      <c r="D313" s="18"/>
      <c r="F313" s="18"/>
      <c r="G313" s="50"/>
      <c r="H313" s="55"/>
      <c r="I313" s="8"/>
      <c r="O313" s="45"/>
      <c r="P313" s="69"/>
      <c r="Q313" s="18"/>
      <c r="R313" s="40"/>
      <c r="V313" s="71"/>
    </row>
    <row r="314" spans="4:22" s="6" customFormat="1" x14ac:dyDescent="0.3">
      <c r="D314" s="18"/>
      <c r="F314" s="18"/>
      <c r="G314" s="50"/>
      <c r="H314" s="55"/>
      <c r="I314" s="8"/>
      <c r="O314" s="45"/>
      <c r="P314" s="69"/>
      <c r="Q314" s="18"/>
      <c r="R314" s="40"/>
      <c r="V314" s="71"/>
    </row>
    <row r="315" spans="4:22" s="6" customFormat="1" x14ac:dyDescent="0.3">
      <c r="D315" s="18"/>
      <c r="F315" s="18"/>
      <c r="G315" s="50"/>
      <c r="H315" s="55"/>
      <c r="I315" s="8"/>
      <c r="O315" s="45"/>
      <c r="P315" s="69"/>
      <c r="Q315" s="18"/>
      <c r="R315" s="40"/>
      <c r="V315" s="71"/>
    </row>
    <row r="316" spans="4:22" s="6" customFormat="1" x14ac:dyDescent="0.3">
      <c r="D316" s="18"/>
      <c r="F316" s="18"/>
      <c r="G316" s="50"/>
      <c r="H316" s="55"/>
      <c r="I316" s="8"/>
      <c r="O316" s="45"/>
      <c r="P316" s="69"/>
      <c r="Q316" s="18"/>
      <c r="R316" s="40"/>
      <c r="V316" s="71"/>
    </row>
    <row r="317" spans="4:22" s="6" customFormat="1" x14ac:dyDescent="0.3">
      <c r="D317" s="18"/>
      <c r="F317" s="18"/>
      <c r="G317" s="50"/>
      <c r="H317" s="55"/>
      <c r="I317" s="8"/>
      <c r="O317" s="45"/>
      <c r="P317" s="69"/>
      <c r="Q317" s="18"/>
      <c r="R317" s="40"/>
      <c r="V317" s="71"/>
    </row>
    <row r="318" spans="4:22" s="6" customFormat="1" x14ac:dyDescent="0.3">
      <c r="D318" s="18"/>
      <c r="F318" s="18"/>
      <c r="G318" s="50"/>
      <c r="H318" s="55"/>
      <c r="I318" s="8"/>
      <c r="O318" s="45"/>
      <c r="P318" s="69"/>
      <c r="Q318" s="18"/>
      <c r="R318" s="40"/>
      <c r="V318" s="71"/>
    </row>
    <row r="319" spans="4:22" s="6" customFormat="1" x14ac:dyDescent="0.3">
      <c r="D319" s="18"/>
      <c r="F319" s="18"/>
      <c r="G319" s="50"/>
      <c r="H319" s="55"/>
      <c r="I319" s="8"/>
      <c r="O319" s="45"/>
      <c r="P319" s="69"/>
      <c r="Q319" s="18"/>
      <c r="R319" s="40"/>
      <c r="V319" s="71"/>
    </row>
    <row r="320" spans="4:22" s="6" customFormat="1" x14ac:dyDescent="0.3">
      <c r="D320" s="18"/>
      <c r="F320" s="18"/>
      <c r="G320" s="50"/>
      <c r="H320" s="55"/>
      <c r="I320" s="8"/>
      <c r="O320" s="45"/>
      <c r="P320" s="69"/>
      <c r="Q320" s="18"/>
      <c r="R320" s="40"/>
      <c r="V320" s="71"/>
    </row>
    <row r="321" spans="4:22" s="6" customFormat="1" x14ac:dyDescent="0.3">
      <c r="D321" s="18"/>
      <c r="F321" s="18"/>
      <c r="G321" s="50"/>
      <c r="H321" s="55"/>
      <c r="I321" s="8"/>
      <c r="O321" s="45"/>
      <c r="P321" s="69"/>
      <c r="Q321" s="18"/>
      <c r="R321" s="40"/>
      <c r="V321" s="71"/>
    </row>
    <row r="322" spans="4:22" s="6" customFormat="1" x14ac:dyDescent="0.3">
      <c r="D322" s="18"/>
      <c r="F322" s="18"/>
      <c r="G322" s="50"/>
      <c r="H322" s="55"/>
      <c r="I322" s="8"/>
      <c r="O322" s="45"/>
      <c r="P322" s="69"/>
      <c r="Q322" s="18"/>
      <c r="R322" s="40"/>
      <c r="V322" s="71"/>
    </row>
    <row r="323" spans="4:22" s="6" customFormat="1" x14ac:dyDescent="0.3">
      <c r="D323" s="18"/>
      <c r="F323" s="18"/>
      <c r="G323" s="50"/>
      <c r="H323" s="55"/>
      <c r="I323" s="8"/>
      <c r="O323" s="45"/>
      <c r="P323" s="69"/>
      <c r="Q323" s="18"/>
      <c r="R323" s="40"/>
      <c r="V323" s="71"/>
    </row>
    <row r="324" spans="4:22" s="6" customFormat="1" x14ac:dyDescent="0.3">
      <c r="D324" s="18"/>
      <c r="F324" s="18"/>
      <c r="G324" s="50"/>
      <c r="H324" s="55"/>
      <c r="I324" s="8"/>
      <c r="O324" s="45"/>
      <c r="P324" s="69"/>
      <c r="Q324" s="18"/>
      <c r="R324" s="40"/>
      <c r="V324" s="71"/>
    </row>
    <row r="325" spans="4:22" s="6" customFormat="1" x14ac:dyDescent="0.3">
      <c r="D325" s="18"/>
      <c r="F325" s="18"/>
      <c r="G325" s="50"/>
      <c r="H325" s="55"/>
      <c r="I325" s="8"/>
      <c r="O325" s="45"/>
      <c r="P325" s="69"/>
      <c r="Q325" s="18"/>
      <c r="R325" s="40"/>
      <c r="V325" s="71"/>
    </row>
    <row r="326" spans="4:22" s="6" customFormat="1" x14ac:dyDescent="0.3">
      <c r="D326" s="18"/>
      <c r="F326" s="18"/>
      <c r="G326" s="50"/>
      <c r="H326" s="55"/>
      <c r="I326" s="8"/>
      <c r="O326" s="45"/>
      <c r="P326" s="69"/>
      <c r="Q326" s="18"/>
      <c r="R326" s="40"/>
      <c r="V326" s="71"/>
    </row>
    <row r="327" spans="4:22" s="6" customFormat="1" x14ac:dyDescent="0.3">
      <c r="D327" s="18"/>
      <c r="F327" s="18"/>
      <c r="G327" s="50"/>
      <c r="H327" s="55"/>
      <c r="I327" s="8"/>
      <c r="O327" s="45"/>
      <c r="P327" s="69"/>
      <c r="Q327" s="18"/>
      <c r="R327" s="40"/>
      <c r="V327" s="71"/>
    </row>
    <row r="328" spans="4:22" s="6" customFormat="1" x14ac:dyDescent="0.3">
      <c r="D328" s="18"/>
      <c r="F328" s="18"/>
      <c r="G328" s="50"/>
      <c r="H328" s="55"/>
      <c r="I328" s="8"/>
      <c r="O328" s="45"/>
      <c r="P328" s="69"/>
      <c r="Q328" s="18"/>
      <c r="R328" s="40"/>
      <c r="V328" s="71"/>
    </row>
    <row r="329" spans="4:22" s="6" customFormat="1" x14ac:dyDescent="0.3">
      <c r="D329" s="18"/>
      <c r="F329" s="18"/>
      <c r="G329" s="50"/>
      <c r="H329" s="55"/>
      <c r="I329" s="8"/>
      <c r="O329" s="45"/>
      <c r="P329" s="69"/>
      <c r="Q329" s="18"/>
      <c r="R329" s="40"/>
      <c r="V329" s="71"/>
    </row>
    <row r="330" spans="4:22" s="6" customFormat="1" x14ac:dyDescent="0.3">
      <c r="D330" s="18"/>
      <c r="F330" s="18"/>
      <c r="G330" s="50"/>
      <c r="H330" s="55"/>
      <c r="I330" s="8"/>
      <c r="O330" s="45"/>
      <c r="P330" s="69"/>
      <c r="Q330" s="18"/>
      <c r="R330" s="40"/>
      <c r="V330" s="71"/>
    </row>
    <row r="331" spans="4:22" s="6" customFormat="1" x14ac:dyDescent="0.3">
      <c r="D331" s="18"/>
      <c r="F331" s="18"/>
      <c r="G331" s="50"/>
      <c r="H331" s="55"/>
      <c r="I331" s="8"/>
      <c r="O331" s="45"/>
      <c r="P331" s="69"/>
      <c r="Q331" s="18"/>
      <c r="R331" s="40"/>
      <c r="V331" s="71"/>
    </row>
    <row r="332" spans="4:22" s="6" customFormat="1" x14ac:dyDescent="0.3">
      <c r="D332" s="18"/>
      <c r="F332" s="18"/>
      <c r="G332" s="50"/>
      <c r="H332" s="55"/>
      <c r="I332" s="8"/>
      <c r="O332" s="45"/>
      <c r="P332" s="69"/>
      <c r="Q332" s="18"/>
      <c r="R332" s="40"/>
      <c r="V332" s="71"/>
    </row>
    <row r="333" spans="4:22" s="6" customFormat="1" x14ac:dyDescent="0.3">
      <c r="D333" s="18"/>
      <c r="F333" s="18"/>
      <c r="G333" s="50"/>
      <c r="H333" s="55"/>
      <c r="I333" s="8"/>
      <c r="O333" s="45"/>
      <c r="P333" s="69"/>
      <c r="Q333" s="18"/>
      <c r="R333" s="40"/>
      <c r="V333" s="71"/>
    </row>
    <row r="334" spans="4:22" s="6" customFormat="1" x14ac:dyDescent="0.3">
      <c r="D334" s="18"/>
      <c r="F334" s="18"/>
      <c r="G334" s="50"/>
      <c r="H334" s="55"/>
      <c r="I334" s="8"/>
      <c r="O334" s="45"/>
      <c r="P334" s="69"/>
      <c r="Q334" s="18"/>
      <c r="R334" s="40"/>
      <c r="V334" s="71"/>
    </row>
    <row r="335" spans="4:22" s="6" customFormat="1" x14ac:dyDescent="0.3">
      <c r="D335" s="18"/>
      <c r="F335" s="18"/>
      <c r="G335" s="50"/>
      <c r="H335" s="55"/>
      <c r="I335" s="8"/>
      <c r="O335" s="45"/>
      <c r="P335" s="69"/>
      <c r="Q335" s="18"/>
      <c r="R335" s="40"/>
      <c r="V335" s="71"/>
    </row>
    <row r="336" spans="4:22" s="6" customFormat="1" x14ac:dyDescent="0.3">
      <c r="D336" s="18"/>
      <c r="F336" s="18"/>
      <c r="G336" s="50"/>
      <c r="H336" s="55"/>
      <c r="I336" s="8"/>
      <c r="O336" s="45"/>
      <c r="P336" s="69"/>
      <c r="Q336" s="18"/>
      <c r="R336" s="40"/>
      <c r="V336" s="71"/>
    </row>
    <row r="337" spans="4:22" s="6" customFormat="1" x14ac:dyDescent="0.3">
      <c r="D337" s="18"/>
      <c r="F337" s="18"/>
      <c r="G337" s="50"/>
      <c r="H337" s="55"/>
      <c r="I337" s="8"/>
      <c r="O337" s="45"/>
      <c r="P337" s="69"/>
      <c r="Q337" s="18"/>
      <c r="R337" s="40"/>
      <c r="V337" s="71"/>
    </row>
    <row r="338" spans="4:22" s="6" customFormat="1" x14ac:dyDescent="0.3">
      <c r="D338" s="18"/>
      <c r="F338" s="18"/>
      <c r="G338" s="50"/>
      <c r="H338" s="55"/>
      <c r="I338" s="8"/>
      <c r="O338" s="45"/>
      <c r="P338" s="69"/>
      <c r="Q338" s="18"/>
      <c r="R338" s="40"/>
      <c r="V338" s="71"/>
    </row>
    <row r="339" spans="4:22" s="6" customFormat="1" x14ac:dyDescent="0.3">
      <c r="D339" s="18"/>
      <c r="F339" s="18"/>
      <c r="G339" s="50"/>
      <c r="H339" s="55"/>
      <c r="I339" s="8"/>
      <c r="O339" s="45"/>
      <c r="P339" s="69"/>
      <c r="Q339" s="18"/>
      <c r="R339" s="40"/>
      <c r="V339" s="71"/>
    </row>
    <row r="340" spans="4:22" s="6" customFormat="1" x14ac:dyDescent="0.3">
      <c r="D340" s="18"/>
      <c r="F340" s="18"/>
      <c r="G340" s="50"/>
      <c r="H340" s="55"/>
      <c r="I340" s="8"/>
      <c r="O340" s="45"/>
      <c r="P340" s="69"/>
      <c r="Q340" s="18"/>
      <c r="R340" s="40"/>
      <c r="V340" s="71"/>
    </row>
    <row r="341" spans="4:22" s="6" customFormat="1" x14ac:dyDescent="0.3">
      <c r="D341" s="18"/>
      <c r="F341" s="18"/>
      <c r="G341" s="50"/>
      <c r="H341" s="55"/>
      <c r="I341" s="8"/>
      <c r="O341" s="45"/>
      <c r="P341" s="69"/>
      <c r="Q341" s="18"/>
      <c r="R341" s="40"/>
      <c r="V341" s="71"/>
    </row>
    <row r="342" spans="4:22" s="6" customFormat="1" x14ac:dyDescent="0.3">
      <c r="D342" s="18"/>
      <c r="F342" s="18"/>
      <c r="G342" s="50"/>
      <c r="H342" s="55"/>
      <c r="I342" s="8"/>
      <c r="O342" s="45"/>
      <c r="P342" s="69"/>
      <c r="Q342" s="18"/>
      <c r="R342" s="40"/>
      <c r="V342" s="71"/>
    </row>
    <row r="343" spans="4:22" s="6" customFormat="1" x14ac:dyDescent="0.3">
      <c r="D343" s="18"/>
      <c r="F343" s="18"/>
      <c r="G343" s="50"/>
      <c r="H343" s="55"/>
      <c r="I343" s="8"/>
      <c r="O343" s="45"/>
      <c r="P343" s="69"/>
      <c r="Q343" s="18"/>
      <c r="R343" s="40"/>
      <c r="V343" s="71"/>
    </row>
    <row r="344" spans="4:22" s="6" customFormat="1" x14ac:dyDescent="0.3">
      <c r="D344" s="18"/>
      <c r="F344" s="18"/>
      <c r="G344" s="50"/>
      <c r="H344" s="55"/>
      <c r="I344" s="8"/>
      <c r="O344" s="45"/>
      <c r="P344" s="69"/>
      <c r="Q344" s="18"/>
      <c r="R344" s="40"/>
      <c r="V344" s="71"/>
    </row>
    <row r="345" spans="4:22" s="6" customFormat="1" x14ac:dyDescent="0.3">
      <c r="D345" s="18"/>
      <c r="F345" s="18"/>
      <c r="G345" s="50"/>
      <c r="H345" s="55"/>
      <c r="I345" s="8"/>
      <c r="O345" s="45"/>
      <c r="P345" s="69"/>
      <c r="Q345" s="18"/>
      <c r="R345" s="40"/>
      <c r="V345" s="71"/>
    </row>
    <row r="346" spans="4:22" s="6" customFormat="1" x14ac:dyDescent="0.3">
      <c r="D346" s="18"/>
      <c r="F346" s="18"/>
      <c r="G346" s="50"/>
      <c r="H346" s="55"/>
      <c r="I346" s="8"/>
      <c r="O346" s="45"/>
      <c r="P346" s="69"/>
      <c r="Q346" s="18"/>
      <c r="R346" s="40"/>
      <c r="V346" s="71"/>
    </row>
    <row r="347" spans="4:22" s="6" customFormat="1" x14ac:dyDescent="0.3">
      <c r="D347" s="18"/>
      <c r="F347" s="18"/>
      <c r="G347" s="50"/>
      <c r="H347" s="55"/>
      <c r="I347" s="8"/>
      <c r="O347" s="45"/>
      <c r="P347" s="69"/>
      <c r="Q347" s="18"/>
      <c r="R347" s="40"/>
      <c r="V347" s="71"/>
    </row>
    <row r="348" spans="4:22" s="6" customFormat="1" x14ac:dyDescent="0.3">
      <c r="D348" s="18"/>
      <c r="F348" s="18"/>
      <c r="G348" s="50"/>
      <c r="H348" s="55"/>
      <c r="I348" s="8"/>
      <c r="O348" s="45"/>
      <c r="P348" s="69"/>
      <c r="Q348" s="18"/>
      <c r="R348" s="40"/>
      <c r="V348" s="71"/>
    </row>
    <row r="349" spans="4:22" s="6" customFormat="1" x14ac:dyDescent="0.3">
      <c r="D349" s="18"/>
      <c r="F349" s="18"/>
      <c r="G349" s="50"/>
      <c r="H349" s="55"/>
      <c r="I349" s="8"/>
      <c r="O349" s="45"/>
      <c r="P349" s="69"/>
      <c r="Q349" s="18"/>
      <c r="R349" s="40"/>
      <c r="V349" s="71"/>
    </row>
    <row r="350" spans="4:22" s="6" customFormat="1" x14ac:dyDescent="0.3">
      <c r="D350" s="18"/>
      <c r="F350" s="18"/>
      <c r="G350" s="50"/>
      <c r="H350" s="55"/>
      <c r="I350" s="8"/>
      <c r="O350" s="45"/>
      <c r="P350" s="69"/>
      <c r="Q350" s="18"/>
      <c r="R350" s="40"/>
      <c r="V350" s="71"/>
    </row>
    <row r="351" spans="4:22" s="6" customFormat="1" x14ac:dyDescent="0.3">
      <c r="D351" s="18"/>
      <c r="F351" s="18"/>
      <c r="G351" s="50"/>
      <c r="H351" s="55"/>
      <c r="I351" s="8"/>
      <c r="O351" s="45"/>
      <c r="P351" s="69"/>
      <c r="Q351" s="18"/>
      <c r="R351" s="40"/>
      <c r="V351" s="71"/>
    </row>
    <row r="352" spans="4:22" s="6" customFormat="1" x14ac:dyDescent="0.3">
      <c r="D352" s="18"/>
      <c r="F352" s="18"/>
      <c r="G352" s="50"/>
      <c r="H352" s="55"/>
      <c r="I352" s="8"/>
      <c r="O352" s="45"/>
      <c r="P352" s="69"/>
      <c r="Q352" s="18"/>
      <c r="R352" s="40"/>
      <c r="V352" s="71"/>
    </row>
    <row r="353" spans="4:22" s="6" customFormat="1" x14ac:dyDescent="0.3">
      <c r="D353" s="18"/>
      <c r="F353" s="18"/>
      <c r="G353" s="50"/>
      <c r="H353" s="55"/>
      <c r="I353" s="8"/>
      <c r="O353" s="45"/>
      <c r="P353" s="69"/>
      <c r="Q353" s="18"/>
      <c r="R353" s="40"/>
      <c r="V353" s="71"/>
    </row>
    <row r="354" spans="4:22" s="6" customFormat="1" x14ac:dyDescent="0.3">
      <c r="D354" s="18"/>
      <c r="F354" s="18"/>
      <c r="G354" s="50"/>
      <c r="H354" s="55"/>
      <c r="I354" s="8"/>
      <c r="O354" s="45"/>
      <c r="P354" s="69"/>
      <c r="Q354" s="18"/>
      <c r="R354" s="40"/>
      <c r="V354" s="71"/>
    </row>
    <row r="355" spans="4:22" s="6" customFormat="1" x14ac:dyDescent="0.3">
      <c r="D355" s="18"/>
      <c r="F355" s="18"/>
      <c r="G355" s="50"/>
      <c r="H355" s="55"/>
      <c r="I355" s="8"/>
      <c r="O355" s="45"/>
      <c r="P355" s="69"/>
      <c r="Q355" s="18"/>
      <c r="R355" s="40"/>
      <c r="V355" s="71"/>
    </row>
    <row r="356" spans="4:22" s="6" customFormat="1" x14ac:dyDescent="0.3">
      <c r="D356" s="18"/>
      <c r="F356" s="18"/>
      <c r="G356" s="50"/>
      <c r="H356" s="55"/>
      <c r="I356" s="8"/>
      <c r="O356" s="45"/>
      <c r="P356" s="69"/>
      <c r="Q356" s="18"/>
      <c r="R356" s="40"/>
      <c r="V356" s="71"/>
    </row>
    <row r="357" spans="4:22" s="6" customFormat="1" x14ac:dyDescent="0.3">
      <c r="D357" s="18"/>
      <c r="F357" s="18"/>
      <c r="G357" s="50"/>
      <c r="H357" s="55"/>
      <c r="I357" s="8"/>
      <c r="O357" s="45"/>
      <c r="P357" s="69"/>
      <c r="Q357" s="18"/>
      <c r="R357" s="40"/>
      <c r="V357" s="71"/>
    </row>
    <row r="358" spans="4:22" s="6" customFormat="1" x14ac:dyDescent="0.3">
      <c r="D358" s="18"/>
      <c r="F358" s="18"/>
      <c r="G358" s="50"/>
      <c r="H358" s="55"/>
      <c r="I358" s="8"/>
      <c r="O358" s="45"/>
      <c r="P358" s="69"/>
      <c r="Q358" s="18"/>
      <c r="R358" s="40"/>
      <c r="V358" s="71"/>
    </row>
    <row r="359" spans="4:22" s="6" customFormat="1" x14ac:dyDescent="0.3">
      <c r="D359" s="18"/>
      <c r="F359" s="18"/>
      <c r="G359" s="50"/>
      <c r="H359" s="55"/>
      <c r="I359" s="8"/>
      <c r="O359" s="45"/>
      <c r="P359" s="69"/>
      <c r="Q359" s="18"/>
      <c r="R359" s="40"/>
      <c r="V359" s="71"/>
    </row>
    <row r="360" spans="4:22" s="6" customFormat="1" x14ac:dyDescent="0.3">
      <c r="D360" s="18"/>
      <c r="F360" s="18"/>
      <c r="G360" s="50"/>
      <c r="H360" s="55"/>
      <c r="I360" s="8"/>
      <c r="O360" s="45"/>
      <c r="P360" s="69"/>
      <c r="Q360" s="18"/>
      <c r="R360" s="40"/>
      <c r="V360" s="71"/>
    </row>
    <row r="361" spans="4:22" s="6" customFormat="1" x14ac:dyDescent="0.3">
      <c r="D361" s="18"/>
      <c r="F361" s="18"/>
      <c r="G361" s="50"/>
      <c r="H361" s="55"/>
      <c r="I361" s="8"/>
      <c r="O361" s="45"/>
      <c r="P361" s="69"/>
      <c r="Q361" s="18"/>
      <c r="R361" s="40"/>
      <c r="V361" s="71"/>
    </row>
    <row r="362" spans="4:22" s="6" customFormat="1" x14ac:dyDescent="0.3">
      <c r="D362" s="18"/>
      <c r="F362" s="18"/>
      <c r="G362" s="50"/>
      <c r="H362" s="55"/>
      <c r="I362" s="8"/>
      <c r="O362" s="45"/>
      <c r="P362" s="69"/>
      <c r="Q362" s="18"/>
      <c r="R362" s="40"/>
      <c r="V362" s="71"/>
    </row>
    <row r="363" spans="4:22" s="6" customFormat="1" x14ac:dyDescent="0.3">
      <c r="D363" s="18"/>
      <c r="F363" s="18"/>
      <c r="G363" s="50"/>
      <c r="H363" s="55"/>
      <c r="I363" s="8"/>
      <c r="O363" s="45"/>
      <c r="P363" s="69"/>
      <c r="Q363" s="18"/>
      <c r="R363" s="40"/>
      <c r="V363" s="71"/>
    </row>
    <row r="364" spans="4:22" s="6" customFormat="1" x14ac:dyDescent="0.3">
      <c r="D364" s="18"/>
      <c r="F364" s="18"/>
      <c r="G364" s="50"/>
      <c r="H364" s="55"/>
      <c r="I364" s="8"/>
      <c r="O364" s="45"/>
      <c r="P364" s="69"/>
      <c r="Q364" s="18"/>
      <c r="R364" s="40"/>
      <c r="V364" s="71"/>
    </row>
    <row r="365" spans="4:22" s="6" customFormat="1" x14ac:dyDescent="0.3">
      <c r="D365" s="18"/>
      <c r="F365" s="18"/>
      <c r="G365" s="50"/>
      <c r="H365" s="55"/>
      <c r="I365" s="8"/>
      <c r="O365" s="45"/>
      <c r="P365" s="69"/>
      <c r="Q365" s="18"/>
      <c r="R365" s="40"/>
      <c r="V365" s="71"/>
    </row>
    <row r="366" spans="4:22" s="6" customFormat="1" x14ac:dyDescent="0.3">
      <c r="D366" s="18"/>
      <c r="F366" s="18"/>
      <c r="G366" s="50"/>
      <c r="H366" s="55"/>
      <c r="I366" s="8"/>
      <c r="O366" s="45"/>
      <c r="P366" s="69"/>
      <c r="Q366" s="18"/>
      <c r="R366" s="40"/>
      <c r="V366" s="71"/>
    </row>
    <row r="367" spans="4:22" s="6" customFormat="1" x14ac:dyDescent="0.3">
      <c r="D367" s="18"/>
      <c r="F367" s="18"/>
      <c r="G367" s="50"/>
      <c r="H367" s="55"/>
      <c r="I367" s="8"/>
      <c r="O367" s="45"/>
      <c r="P367" s="69"/>
      <c r="Q367" s="18"/>
      <c r="R367" s="40"/>
      <c r="V367" s="71"/>
    </row>
    <row r="368" spans="4:22" s="6" customFormat="1" x14ac:dyDescent="0.3">
      <c r="D368" s="18"/>
      <c r="F368" s="18"/>
      <c r="G368" s="50"/>
      <c r="H368" s="55"/>
      <c r="I368" s="8"/>
      <c r="O368" s="45"/>
      <c r="P368" s="69"/>
      <c r="Q368" s="18"/>
      <c r="R368" s="40"/>
      <c r="V368" s="71"/>
    </row>
    <row r="369" spans="4:22" s="6" customFormat="1" x14ac:dyDescent="0.3">
      <c r="D369" s="18"/>
      <c r="F369" s="18"/>
      <c r="G369" s="50"/>
      <c r="H369" s="55"/>
      <c r="I369" s="8"/>
      <c r="O369" s="45"/>
      <c r="P369" s="69"/>
      <c r="Q369" s="18"/>
      <c r="R369" s="40"/>
      <c r="V369" s="71"/>
    </row>
    <row r="370" spans="4:22" s="6" customFormat="1" x14ac:dyDescent="0.3">
      <c r="D370" s="18"/>
      <c r="F370" s="18"/>
      <c r="G370" s="50"/>
      <c r="H370" s="55"/>
      <c r="I370" s="8"/>
      <c r="O370" s="45"/>
      <c r="P370" s="69"/>
      <c r="Q370" s="18"/>
      <c r="R370" s="40"/>
      <c r="V370" s="71"/>
    </row>
    <row r="371" spans="4:22" s="6" customFormat="1" x14ac:dyDescent="0.3">
      <c r="D371" s="18"/>
      <c r="F371" s="18"/>
      <c r="G371" s="50"/>
      <c r="H371" s="55"/>
      <c r="I371" s="8"/>
      <c r="O371" s="45"/>
      <c r="P371" s="69"/>
      <c r="Q371" s="18"/>
      <c r="R371" s="40"/>
      <c r="V371" s="71"/>
    </row>
    <row r="372" spans="4:22" s="6" customFormat="1" x14ac:dyDescent="0.3">
      <c r="D372" s="18"/>
      <c r="F372" s="18"/>
      <c r="G372" s="50"/>
      <c r="H372" s="55"/>
      <c r="I372" s="8"/>
      <c r="O372" s="45"/>
      <c r="P372" s="69"/>
      <c r="Q372" s="18"/>
      <c r="R372" s="40"/>
      <c r="V372" s="71"/>
    </row>
    <row r="373" spans="4:22" s="6" customFormat="1" x14ac:dyDescent="0.3">
      <c r="D373" s="18"/>
      <c r="F373" s="18"/>
      <c r="G373" s="50"/>
      <c r="H373" s="55"/>
      <c r="I373" s="8"/>
      <c r="O373" s="45"/>
      <c r="P373" s="69"/>
      <c r="Q373" s="18"/>
      <c r="R373" s="40"/>
      <c r="V373" s="71"/>
    </row>
    <row r="374" spans="4:22" s="6" customFormat="1" x14ac:dyDescent="0.3">
      <c r="D374" s="18"/>
      <c r="F374" s="18"/>
      <c r="G374" s="50"/>
      <c r="H374" s="55"/>
      <c r="I374" s="8"/>
      <c r="O374" s="45"/>
      <c r="P374" s="69"/>
      <c r="Q374" s="18"/>
      <c r="R374" s="40"/>
      <c r="V374" s="71"/>
    </row>
    <row r="375" spans="4:22" s="6" customFormat="1" x14ac:dyDescent="0.3">
      <c r="D375" s="18"/>
      <c r="F375" s="18"/>
      <c r="G375" s="50"/>
      <c r="H375" s="55"/>
      <c r="I375" s="8"/>
      <c r="O375" s="45"/>
      <c r="P375" s="69"/>
      <c r="Q375" s="18"/>
      <c r="R375" s="40"/>
      <c r="V375" s="71"/>
    </row>
    <row r="376" spans="4:22" s="6" customFormat="1" x14ac:dyDescent="0.3">
      <c r="D376" s="18"/>
      <c r="F376" s="18"/>
      <c r="G376" s="50"/>
      <c r="H376" s="55"/>
      <c r="I376" s="8"/>
      <c r="O376" s="45"/>
      <c r="P376" s="69"/>
      <c r="Q376" s="18"/>
      <c r="R376" s="40"/>
      <c r="V376" s="71"/>
    </row>
    <row r="377" spans="4:22" s="6" customFormat="1" x14ac:dyDescent="0.3">
      <c r="D377" s="18"/>
      <c r="F377" s="18"/>
      <c r="G377" s="50"/>
      <c r="H377" s="55"/>
      <c r="I377" s="8"/>
      <c r="O377" s="45"/>
      <c r="P377" s="69"/>
      <c r="Q377" s="18"/>
      <c r="R377" s="40"/>
      <c r="V377" s="71"/>
    </row>
    <row r="378" spans="4:22" s="6" customFormat="1" x14ac:dyDescent="0.3">
      <c r="D378" s="18"/>
      <c r="F378" s="18"/>
      <c r="G378" s="50"/>
      <c r="H378" s="55"/>
      <c r="I378" s="8"/>
      <c r="O378" s="45"/>
      <c r="P378" s="69"/>
      <c r="Q378" s="18"/>
      <c r="R378" s="40"/>
      <c r="V378" s="71"/>
    </row>
    <row r="379" spans="4:22" s="6" customFormat="1" x14ac:dyDescent="0.3">
      <c r="D379" s="18"/>
      <c r="F379" s="18"/>
      <c r="G379" s="50"/>
      <c r="H379" s="55"/>
      <c r="I379" s="8"/>
      <c r="O379" s="45"/>
      <c r="P379" s="69"/>
      <c r="Q379" s="18"/>
      <c r="R379" s="40"/>
      <c r="V379" s="71"/>
    </row>
    <row r="380" spans="4:22" s="6" customFormat="1" x14ac:dyDescent="0.3">
      <c r="D380" s="18"/>
      <c r="F380" s="18"/>
      <c r="G380" s="50"/>
      <c r="H380" s="55"/>
      <c r="I380" s="8"/>
      <c r="O380" s="45"/>
      <c r="P380" s="69"/>
      <c r="Q380" s="18"/>
      <c r="R380" s="40"/>
      <c r="V380" s="71"/>
    </row>
    <row r="381" spans="4:22" s="6" customFormat="1" x14ac:dyDescent="0.3">
      <c r="D381" s="18"/>
      <c r="F381" s="18"/>
      <c r="G381" s="50"/>
      <c r="H381" s="55"/>
      <c r="I381" s="8"/>
      <c r="O381" s="45"/>
      <c r="P381" s="69"/>
      <c r="Q381" s="18"/>
      <c r="R381" s="40"/>
      <c r="V381" s="71"/>
    </row>
    <row r="382" spans="4:22" s="6" customFormat="1" x14ac:dyDescent="0.3">
      <c r="D382" s="18"/>
      <c r="F382" s="18"/>
      <c r="G382" s="50"/>
      <c r="H382" s="55"/>
      <c r="I382" s="8"/>
      <c r="O382" s="45"/>
      <c r="P382" s="69"/>
      <c r="Q382" s="18"/>
      <c r="R382" s="40"/>
      <c r="V382" s="71"/>
    </row>
    <row r="383" spans="4:22" s="6" customFormat="1" x14ac:dyDescent="0.3">
      <c r="D383" s="18"/>
      <c r="F383" s="18"/>
      <c r="G383" s="50"/>
      <c r="H383" s="55"/>
      <c r="I383" s="8"/>
      <c r="O383" s="45"/>
      <c r="P383" s="69"/>
      <c r="Q383" s="18"/>
      <c r="R383" s="40"/>
      <c r="V383" s="71"/>
    </row>
    <row r="384" spans="4:22" s="6" customFormat="1" x14ac:dyDescent="0.3">
      <c r="D384" s="18"/>
      <c r="F384" s="18"/>
      <c r="G384" s="50"/>
      <c r="H384" s="55"/>
      <c r="I384" s="8"/>
      <c r="O384" s="45"/>
      <c r="P384" s="69"/>
      <c r="Q384" s="18"/>
      <c r="R384" s="40"/>
      <c r="V384" s="71"/>
    </row>
    <row r="385" spans="4:22" s="6" customFormat="1" x14ac:dyDescent="0.3">
      <c r="D385" s="18"/>
      <c r="F385" s="18"/>
      <c r="G385" s="50"/>
      <c r="H385" s="55"/>
      <c r="I385" s="8"/>
      <c r="O385" s="45"/>
      <c r="P385" s="69"/>
      <c r="Q385" s="18"/>
      <c r="R385" s="40"/>
      <c r="V385" s="71"/>
    </row>
    <row r="386" spans="4:22" s="6" customFormat="1" x14ac:dyDescent="0.3">
      <c r="D386" s="18"/>
      <c r="F386" s="18"/>
      <c r="G386" s="50"/>
      <c r="H386" s="55"/>
      <c r="I386" s="8"/>
      <c r="O386" s="45"/>
      <c r="P386" s="69"/>
      <c r="Q386" s="18"/>
      <c r="R386" s="40"/>
      <c r="V386" s="71"/>
    </row>
    <row r="387" spans="4:22" s="6" customFormat="1" x14ac:dyDescent="0.3">
      <c r="D387" s="18"/>
      <c r="F387" s="18"/>
      <c r="G387" s="50"/>
      <c r="H387" s="55"/>
      <c r="I387" s="8"/>
      <c r="O387" s="45"/>
      <c r="P387" s="69"/>
      <c r="Q387" s="18"/>
      <c r="R387" s="40"/>
      <c r="V387" s="71"/>
    </row>
    <row r="388" spans="4:22" s="6" customFormat="1" x14ac:dyDescent="0.3">
      <c r="D388" s="18"/>
      <c r="F388" s="18"/>
      <c r="G388" s="50"/>
      <c r="H388" s="55"/>
      <c r="I388" s="8"/>
      <c r="O388" s="45"/>
      <c r="P388" s="69"/>
      <c r="Q388" s="18"/>
      <c r="R388" s="40"/>
      <c r="V388" s="71"/>
    </row>
    <row r="389" spans="4:22" s="6" customFormat="1" x14ac:dyDescent="0.3">
      <c r="D389" s="18"/>
      <c r="F389" s="18"/>
      <c r="G389" s="50"/>
      <c r="H389" s="55"/>
      <c r="I389" s="8"/>
      <c r="O389" s="45"/>
      <c r="P389" s="69"/>
      <c r="Q389" s="18"/>
      <c r="R389" s="40"/>
      <c r="V389" s="71"/>
    </row>
    <row r="390" spans="4:22" s="6" customFormat="1" x14ac:dyDescent="0.3">
      <c r="D390" s="18"/>
      <c r="F390" s="18"/>
      <c r="G390" s="50"/>
      <c r="H390" s="55"/>
      <c r="I390" s="8"/>
      <c r="O390" s="45"/>
      <c r="P390" s="69"/>
      <c r="Q390" s="18"/>
      <c r="R390" s="40"/>
      <c r="V390" s="71"/>
    </row>
    <row r="391" spans="4:22" s="6" customFormat="1" x14ac:dyDescent="0.3">
      <c r="D391" s="18"/>
      <c r="F391" s="18"/>
      <c r="G391" s="50"/>
      <c r="H391" s="55"/>
      <c r="I391" s="8"/>
      <c r="O391" s="45"/>
      <c r="P391" s="69"/>
      <c r="Q391" s="18"/>
      <c r="R391" s="40"/>
      <c r="V391" s="71"/>
    </row>
    <row r="392" spans="4:22" s="6" customFormat="1" x14ac:dyDescent="0.3">
      <c r="D392" s="18"/>
      <c r="F392" s="18"/>
      <c r="G392" s="50"/>
      <c r="H392" s="55"/>
      <c r="I392" s="8"/>
      <c r="O392" s="45"/>
      <c r="P392" s="69"/>
      <c r="Q392" s="18"/>
      <c r="R392" s="40"/>
      <c r="V392" s="71"/>
    </row>
    <row r="393" spans="4:22" s="6" customFormat="1" x14ac:dyDescent="0.3">
      <c r="D393" s="18"/>
      <c r="F393" s="18"/>
      <c r="G393" s="50"/>
      <c r="H393" s="55"/>
      <c r="I393" s="8"/>
      <c r="O393" s="45"/>
      <c r="P393" s="69"/>
      <c r="Q393" s="18"/>
      <c r="R393" s="40"/>
      <c r="V393" s="71"/>
    </row>
    <row r="394" spans="4:22" s="6" customFormat="1" x14ac:dyDescent="0.3">
      <c r="D394" s="18"/>
      <c r="F394" s="18"/>
      <c r="G394" s="50"/>
      <c r="H394" s="55"/>
      <c r="I394" s="8"/>
      <c r="O394" s="45"/>
      <c r="P394" s="69"/>
      <c r="Q394" s="18"/>
      <c r="R394" s="40"/>
      <c r="V394" s="71"/>
    </row>
    <row r="395" spans="4:22" s="6" customFormat="1" x14ac:dyDescent="0.3">
      <c r="D395" s="18"/>
      <c r="F395" s="18"/>
      <c r="G395" s="50"/>
      <c r="H395" s="55"/>
      <c r="I395" s="8"/>
      <c r="O395" s="45"/>
      <c r="P395" s="69"/>
      <c r="Q395" s="18"/>
      <c r="R395" s="40"/>
      <c r="V395" s="71"/>
    </row>
    <row r="396" spans="4:22" s="6" customFormat="1" x14ac:dyDescent="0.3">
      <c r="D396" s="18"/>
      <c r="F396" s="18"/>
      <c r="G396" s="50"/>
      <c r="H396" s="55"/>
      <c r="I396" s="8"/>
      <c r="O396" s="45"/>
      <c r="P396" s="69"/>
      <c r="Q396" s="18"/>
      <c r="R396" s="40"/>
      <c r="V396" s="71"/>
    </row>
    <row r="397" spans="4:22" s="6" customFormat="1" x14ac:dyDescent="0.3">
      <c r="D397" s="18"/>
      <c r="F397" s="18"/>
      <c r="G397" s="50"/>
      <c r="H397" s="55"/>
      <c r="I397" s="8"/>
      <c r="O397" s="45"/>
      <c r="P397" s="69"/>
      <c r="Q397" s="18"/>
      <c r="R397" s="40"/>
      <c r="V397" s="71"/>
    </row>
    <row r="398" spans="4:22" s="6" customFormat="1" x14ac:dyDescent="0.3">
      <c r="D398" s="18"/>
      <c r="F398" s="18"/>
      <c r="G398" s="50"/>
      <c r="H398" s="55"/>
      <c r="I398" s="8"/>
      <c r="O398" s="45"/>
      <c r="P398" s="69"/>
      <c r="Q398" s="18"/>
      <c r="R398" s="40"/>
      <c r="V398" s="71"/>
    </row>
    <row r="399" spans="4:22" s="6" customFormat="1" x14ac:dyDescent="0.3">
      <c r="D399" s="18"/>
      <c r="F399" s="18"/>
      <c r="G399" s="50"/>
      <c r="H399" s="55"/>
      <c r="I399" s="8"/>
      <c r="O399" s="45"/>
      <c r="P399" s="69"/>
      <c r="Q399" s="18"/>
      <c r="R399" s="40"/>
      <c r="V399" s="71"/>
    </row>
    <row r="400" spans="4:22" s="6" customFormat="1" x14ac:dyDescent="0.3">
      <c r="D400" s="18"/>
      <c r="F400" s="18"/>
      <c r="G400" s="50"/>
      <c r="H400" s="55"/>
      <c r="I400" s="8"/>
      <c r="O400" s="45"/>
      <c r="P400" s="69"/>
      <c r="Q400" s="18"/>
      <c r="R400" s="40"/>
      <c r="V400" s="71"/>
    </row>
    <row r="401" spans="4:22" s="6" customFormat="1" x14ac:dyDescent="0.3">
      <c r="D401" s="18"/>
      <c r="F401" s="18"/>
      <c r="G401" s="50"/>
      <c r="H401" s="55"/>
      <c r="I401" s="8"/>
      <c r="O401" s="45"/>
      <c r="P401" s="69"/>
      <c r="Q401" s="18"/>
      <c r="R401" s="40"/>
      <c r="V401" s="71"/>
    </row>
    <row r="402" spans="4:22" s="6" customFormat="1" x14ac:dyDescent="0.3">
      <c r="D402" s="18"/>
      <c r="F402" s="18"/>
      <c r="G402" s="50"/>
      <c r="H402" s="55"/>
      <c r="I402" s="8"/>
      <c r="O402" s="45"/>
      <c r="P402" s="69"/>
      <c r="Q402" s="18"/>
      <c r="R402" s="40"/>
      <c r="V402" s="71"/>
    </row>
    <row r="403" spans="4:22" s="6" customFormat="1" x14ac:dyDescent="0.3">
      <c r="D403" s="18"/>
      <c r="F403" s="18"/>
      <c r="G403" s="50"/>
      <c r="H403" s="55"/>
      <c r="I403" s="8"/>
      <c r="O403" s="45"/>
      <c r="P403" s="69"/>
      <c r="Q403" s="18"/>
      <c r="R403" s="40"/>
      <c r="V403" s="71"/>
    </row>
    <row r="404" spans="4:22" s="6" customFormat="1" x14ac:dyDescent="0.3">
      <c r="D404" s="18"/>
      <c r="F404" s="18"/>
      <c r="G404" s="50"/>
      <c r="H404" s="55"/>
      <c r="I404" s="8"/>
      <c r="O404" s="45"/>
      <c r="P404" s="69"/>
      <c r="Q404" s="18"/>
      <c r="R404" s="40"/>
      <c r="V404" s="71"/>
    </row>
    <row r="405" spans="4:22" s="6" customFormat="1" x14ac:dyDescent="0.3">
      <c r="D405" s="18"/>
      <c r="F405" s="18"/>
      <c r="G405" s="50"/>
      <c r="H405" s="55"/>
      <c r="I405" s="8"/>
      <c r="O405" s="45"/>
      <c r="P405" s="69"/>
      <c r="Q405" s="18"/>
      <c r="R405" s="40"/>
      <c r="V405" s="71"/>
    </row>
    <row r="406" spans="4:22" s="6" customFormat="1" x14ac:dyDescent="0.3">
      <c r="D406" s="18"/>
      <c r="F406" s="18"/>
      <c r="G406" s="50"/>
      <c r="H406" s="55"/>
      <c r="I406" s="8"/>
      <c r="O406" s="45"/>
      <c r="P406" s="69"/>
      <c r="Q406" s="18"/>
      <c r="R406" s="40"/>
      <c r="V406" s="71"/>
    </row>
    <row r="407" spans="4:22" s="6" customFormat="1" x14ac:dyDescent="0.3">
      <c r="D407" s="18"/>
      <c r="F407" s="18"/>
      <c r="G407" s="50"/>
      <c r="H407" s="55"/>
      <c r="I407" s="8"/>
      <c r="O407" s="45"/>
      <c r="P407" s="69"/>
      <c r="Q407" s="18"/>
      <c r="R407" s="40"/>
      <c r="V407" s="71"/>
    </row>
    <row r="408" spans="4:22" s="6" customFormat="1" x14ac:dyDescent="0.3">
      <c r="D408" s="18"/>
      <c r="F408" s="18"/>
      <c r="G408" s="50"/>
      <c r="H408" s="55"/>
      <c r="I408" s="8"/>
      <c r="O408" s="45"/>
      <c r="P408" s="69"/>
      <c r="Q408" s="18"/>
      <c r="R408" s="40"/>
      <c r="V408" s="71"/>
    </row>
    <row r="409" spans="4:22" s="6" customFormat="1" x14ac:dyDescent="0.3">
      <c r="D409" s="18"/>
      <c r="F409" s="18"/>
      <c r="G409" s="50"/>
      <c r="H409" s="55"/>
      <c r="I409" s="8"/>
      <c r="O409" s="45"/>
      <c r="P409" s="69"/>
      <c r="Q409" s="18"/>
      <c r="R409" s="40"/>
      <c r="V409" s="71"/>
    </row>
    <row r="410" spans="4:22" s="6" customFormat="1" x14ac:dyDescent="0.3">
      <c r="D410" s="18"/>
      <c r="F410" s="18"/>
      <c r="G410" s="50"/>
      <c r="H410" s="55"/>
      <c r="I410" s="8"/>
      <c r="O410" s="45"/>
      <c r="P410" s="69"/>
      <c r="Q410" s="18"/>
      <c r="R410" s="40"/>
      <c r="V410" s="71"/>
    </row>
    <row r="411" spans="4:22" s="6" customFormat="1" x14ac:dyDescent="0.3">
      <c r="D411" s="18"/>
      <c r="F411" s="18"/>
      <c r="G411" s="50"/>
      <c r="H411" s="55"/>
      <c r="I411" s="8"/>
      <c r="O411" s="45"/>
      <c r="P411" s="69"/>
      <c r="Q411" s="18"/>
      <c r="R411" s="40"/>
      <c r="V411" s="71"/>
    </row>
    <row r="412" spans="4:22" s="6" customFormat="1" x14ac:dyDescent="0.3">
      <c r="D412" s="18"/>
      <c r="F412" s="18"/>
      <c r="G412" s="50"/>
      <c r="H412" s="55"/>
      <c r="I412" s="8"/>
      <c r="O412" s="45"/>
      <c r="P412" s="69"/>
      <c r="Q412" s="18"/>
      <c r="R412" s="40"/>
      <c r="V412" s="71"/>
    </row>
    <row r="413" spans="4:22" s="6" customFormat="1" x14ac:dyDescent="0.3">
      <c r="D413" s="18"/>
      <c r="F413" s="18"/>
      <c r="G413" s="50"/>
      <c r="H413" s="55"/>
      <c r="I413" s="8"/>
      <c r="O413" s="45"/>
      <c r="P413" s="69"/>
      <c r="Q413" s="18"/>
      <c r="R413" s="40"/>
      <c r="V413" s="71"/>
    </row>
    <row r="414" spans="4:22" s="6" customFormat="1" x14ac:dyDescent="0.3">
      <c r="D414" s="18"/>
      <c r="F414" s="18"/>
      <c r="G414" s="50"/>
      <c r="H414" s="55"/>
      <c r="I414" s="8"/>
      <c r="O414" s="45"/>
      <c r="P414" s="69"/>
      <c r="Q414" s="18"/>
      <c r="R414" s="40"/>
      <c r="V414" s="71"/>
    </row>
    <row r="415" spans="4:22" s="6" customFormat="1" x14ac:dyDescent="0.3">
      <c r="D415" s="18"/>
      <c r="F415" s="18"/>
      <c r="G415" s="50"/>
      <c r="H415" s="55"/>
      <c r="I415" s="8"/>
      <c r="O415" s="45"/>
      <c r="P415" s="69"/>
      <c r="Q415" s="18"/>
      <c r="R415" s="40"/>
      <c r="V415" s="71"/>
    </row>
    <row r="416" spans="4:22" s="6" customFormat="1" x14ac:dyDescent="0.3">
      <c r="D416" s="18"/>
      <c r="F416" s="18"/>
      <c r="G416" s="50"/>
      <c r="H416" s="55"/>
      <c r="I416" s="8"/>
      <c r="O416" s="45"/>
      <c r="P416" s="69"/>
      <c r="Q416" s="18"/>
      <c r="R416" s="40"/>
      <c r="V416" s="71"/>
    </row>
    <row r="417" spans="4:22" s="6" customFormat="1" x14ac:dyDescent="0.3">
      <c r="D417" s="18"/>
      <c r="F417" s="18"/>
      <c r="G417" s="50"/>
      <c r="H417" s="55"/>
      <c r="I417" s="8"/>
      <c r="O417" s="45"/>
      <c r="P417" s="69"/>
      <c r="Q417" s="18"/>
      <c r="R417" s="40"/>
      <c r="V417" s="71"/>
    </row>
    <row r="418" spans="4:22" s="6" customFormat="1" x14ac:dyDescent="0.3">
      <c r="D418" s="18"/>
      <c r="F418" s="18"/>
      <c r="G418" s="50"/>
      <c r="H418" s="55"/>
      <c r="I418" s="8"/>
      <c r="O418" s="45"/>
      <c r="P418" s="69"/>
      <c r="Q418" s="18"/>
      <c r="R418" s="40"/>
      <c r="V418" s="71"/>
    </row>
    <row r="419" spans="4:22" s="6" customFormat="1" x14ac:dyDescent="0.3">
      <c r="D419" s="18"/>
      <c r="F419" s="18"/>
      <c r="G419" s="50"/>
      <c r="H419" s="55"/>
      <c r="I419" s="8"/>
      <c r="O419" s="45"/>
      <c r="P419" s="69"/>
      <c r="Q419" s="18"/>
      <c r="R419" s="40"/>
      <c r="V419" s="71"/>
    </row>
    <row r="420" spans="4:22" s="6" customFormat="1" x14ac:dyDescent="0.3">
      <c r="D420" s="18"/>
      <c r="F420" s="18"/>
      <c r="G420" s="50"/>
      <c r="H420" s="55"/>
      <c r="I420" s="8"/>
      <c r="O420" s="45"/>
      <c r="P420" s="69"/>
      <c r="Q420" s="18"/>
      <c r="R420" s="40"/>
      <c r="V420" s="71"/>
    </row>
    <row r="421" spans="4:22" s="6" customFormat="1" x14ac:dyDescent="0.3">
      <c r="D421" s="18"/>
      <c r="F421" s="18"/>
      <c r="G421" s="50"/>
      <c r="H421" s="55"/>
      <c r="I421" s="8"/>
      <c r="O421" s="45"/>
      <c r="P421" s="69"/>
      <c r="Q421" s="18"/>
      <c r="R421" s="40"/>
      <c r="V421" s="71"/>
    </row>
    <row r="422" spans="4:22" s="6" customFormat="1" x14ac:dyDescent="0.3">
      <c r="D422" s="18"/>
      <c r="F422" s="18"/>
      <c r="G422" s="50"/>
      <c r="H422" s="55"/>
      <c r="I422" s="8"/>
      <c r="O422" s="45"/>
      <c r="P422" s="69"/>
      <c r="Q422" s="18"/>
      <c r="R422" s="40"/>
      <c r="V422" s="71"/>
    </row>
    <row r="423" spans="4:22" s="6" customFormat="1" x14ac:dyDescent="0.3">
      <c r="D423" s="18"/>
      <c r="F423" s="18"/>
      <c r="G423" s="50"/>
      <c r="H423" s="55"/>
      <c r="I423" s="8"/>
      <c r="O423" s="45"/>
      <c r="P423" s="69"/>
      <c r="Q423" s="18"/>
      <c r="R423" s="40"/>
      <c r="V423" s="71"/>
    </row>
    <row r="424" spans="4:22" s="6" customFormat="1" x14ac:dyDescent="0.3">
      <c r="D424" s="18"/>
      <c r="F424" s="18"/>
      <c r="G424" s="50"/>
      <c r="H424" s="55"/>
      <c r="I424" s="8"/>
      <c r="O424" s="45"/>
      <c r="P424" s="69"/>
      <c r="Q424" s="18"/>
      <c r="R424" s="40"/>
      <c r="V424" s="71"/>
    </row>
    <row r="425" spans="4:22" s="6" customFormat="1" x14ac:dyDescent="0.3">
      <c r="D425" s="18"/>
      <c r="F425" s="18"/>
      <c r="G425" s="50"/>
      <c r="H425" s="55"/>
      <c r="I425" s="8"/>
      <c r="O425" s="45"/>
      <c r="P425" s="69"/>
      <c r="Q425" s="18"/>
      <c r="R425" s="40"/>
      <c r="V425" s="71"/>
    </row>
    <row r="426" spans="4:22" s="6" customFormat="1" x14ac:dyDescent="0.3">
      <c r="D426" s="18"/>
      <c r="F426" s="18"/>
      <c r="G426" s="50"/>
      <c r="H426" s="55"/>
      <c r="I426" s="8"/>
      <c r="O426" s="45"/>
      <c r="P426" s="69"/>
      <c r="Q426" s="18"/>
      <c r="R426" s="40"/>
      <c r="V426" s="71"/>
    </row>
    <row r="427" spans="4:22" s="6" customFormat="1" x14ac:dyDescent="0.3">
      <c r="D427" s="18"/>
      <c r="F427" s="18"/>
      <c r="G427" s="50"/>
      <c r="H427" s="55"/>
      <c r="I427" s="8"/>
      <c r="O427" s="45"/>
      <c r="P427" s="69"/>
      <c r="Q427" s="18"/>
      <c r="R427" s="40"/>
      <c r="V427" s="71"/>
    </row>
    <row r="428" spans="4:22" s="6" customFormat="1" x14ac:dyDescent="0.3">
      <c r="D428" s="18"/>
      <c r="F428" s="18"/>
      <c r="G428" s="50"/>
      <c r="H428" s="55"/>
      <c r="I428" s="8"/>
      <c r="O428" s="45"/>
      <c r="P428" s="69"/>
      <c r="Q428" s="18"/>
      <c r="R428" s="40"/>
      <c r="V428" s="71"/>
    </row>
    <row r="429" spans="4:22" s="6" customFormat="1" x14ac:dyDescent="0.3">
      <c r="D429" s="18"/>
      <c r="F429" s="18"/>
      <c r="G429" s="50"/>
      <c r="H429" s="55"/>
      <c r="I429" s="8"/>
      <c r="O429" s="45"/>
      <c r="P429" s="69"/>
      <c r="Q429" s="18"/>
      <c r="R429" s="40"/>
      <c r="V429" s="71"/>
    </row>
    <row r="430" spans="4:22" s="6" customFormat="1" x14ac:dyDescent="0.3">
      <c r="D430" s="18"/>
      <c r="F430" s="18"/>
      <c r="G430" s="50"/>
      <c r="H430" s="55"/>
      <c r="I430" s="8"/>
      <c r="O430" s="45"/>
      <c r="P430" s="69"/>
      <c r="Q430" s="18"/>
      <c r="R430" s="40"/>
      <c r="V430" s="71"/>
    </row>
    <row r="431" spans="4:22" s="6" customFormat="1" x14ac:dyDescent="0.3">
      <c r="D431" s="18"/>
      <c r="F431" s="18"/>
      <c r="G431" s="50"/>
      <c r="H431" s="55"/>
      <c r="I431" s="8"/>
      <c r="O431" s="45"/>
      <c r="P431" s="69"/>
      <c r="Q431" s="18"/>
      <c r="R431" s="40"/>
      <c r="V431" s="71"/>
    </row>
    <row r="432" spans="4:22" s="6" customFormat="1" x14ac:dyDescent="0.3">
      <c r="D432" s="18"/>
      <c r="F432" s="18"/>
      <c r="G432" s="50"/>
      <c r="H432" s="55"/>
      <c r="I432" s="8"/>
      <c r="O432" s="45"/>
      <c r="P432" s="69"/>
      <c r="Q432" s="18"/>
      <c r="R432" s="40"/>
      <c r="V432" s="71"/>
    </row>
    <row r="433" spans="4:22" s="6" customFormat="1" x14ac:dyDescent="0.3">
      <c r="D433" s="18"/>
      <c r="F433" s="18"/>
      <c r="G433" s="50"/>
      <c r="H433" s="55"/>
      <c r="I433" s="8"/>
      <c r="O433" s="45"/>
      <c r="P433" s="69"/>
      <c r="Q433" s="18"/>
      <c r="R433" s="40"/>
      <c r="V433" s="71"/>
    </row>
    <row r="434" spans="4:22" s="6" customFormat="1" x14ac:dyDescent="0.3">
      <c r="D434" s="18"/>
      <c r="F434" s="18"/>
      <c r="G434" s="50"/>
      <c r="H434" s="55"/>
      <c r="I434" s="8"/>
      <c r="O434" s="45"/>
      <c r="P434" s="69"/>
      <c r="Q434" s="18"/>
      <c r="R434" s="40"/>
      <c r="V434" s="71"/>
    </row>
    <row r="435" spans="4:22" s="6" customFormat="1" x14ac:dyDescent="0.3">
      <c r="D435" s="18"/>
      <c r="F435" s="18"/>
      <c r="G435" s="50"/>
      <c r="H435" s="55"/>
      <c r="I435" s="8"/>
      <c r="O435" s="45"/>
      <c r="P435" s="69"/>
      <c r="Q435" s="18"/>
      <c r="R435" s="40"/>
      <c r="V435" s="71"/>
    </row>
    <row r="436" spans="4:22" s="6" customFormat="1" x14ac:dyDescent="0.3">
      <c r="D436" s="18"/>
      <c r="F436" s="18"/>
      <c r="G436" s="50"/>
      <c r="H436" s="55"/>
      <c r="I436" s="8"/>
      <c r="O436" s="45"/>
      <c r="P436" s="69"/>
      <c r="Q436" s="18"/>
      <c r="R436" s="40"/>
      <c r="V436" s="71"/>
    </row>
    <row r="437" spans="4:22" s="6" customFormat="1" x14ac:dyDescent="0.3">
      <c r="D437" s="18"/>
      <c r="F437" s="18"/>
      <c r="G437" s="50"/>
      <c r="H437" s="55"/>
      <c r="I437" s="8"/>
      <c r="O437" s="45"/>
      <c r="P437" s="69"/>
      <c r="Q437" s="18"/>
      <c r="R437" s="40"/>
      <c r="V437" s="71"/>
    </row>
    <row r="438" spans="4:22" s="6" customFormat="1" x14ac:dyDescent="0.3">
      <c r="D438" s="18"/>
      <c r="F438" s="18"/>
      <c r="G438" s="50"/>
      <c r="H438" s="55"/>
      <c r="I438" s="8"/>
      <c r="O438" s="45"/>
      <c r="P438" s="69"/>
      <c r="Q438" s="18"/>
      <c r="R438" s="40"/>
      <c r="V438" s="71"/>
    </row>
    <row r="439" spans="4:22" s="6" customFormat="1" x14ac:dyDescent="0.3">
      <c r="D439" s="18"/>
      <c r="F439" s="18"/>
      <c r="G439" s="50"/>
      <c r="H439" s="55"/>
      <c r="I439" s="8"/>
      <c r="O439" s="45"/>
      <c r="P439" s="69"/>
      <c r="Q439" s="18"/>
      <c r="R439" s="40"/>
      <c r="V439" s="71"/>
    </row>
    <row r="440" spans="4:22" s="6" customFormat="1" x14ac:dyDescent="0.3">
      <c r="D440" s="18"/>
      <c r="F440" s="18"/>
      <c r="G440" s="50"/>
      <c r="H440" s="55"/>
      <c r="I440" s="8"/>
      <c r="O440" s="45"/>
      <c r="P440" s="69"/>
      <c r="Q440" s="18"/>
      <c r="R440" s="40"/>
      <c r="V440" s="71"/>
    </row>
    <row r="441" spans="4:22" s="6" customFormat="1" x14ac:dyDescent="0.3">
      <c r="D441" s="18"/>
      <c r="F441" s="18"/>
      <c r="G441" s="50"/>
      <c r="H441" s="55"/>
      <c r="I441" s="8"/>
      <c r="O441" s="45"/>
      <c r="P441" s="69"/>
      <c r="Q441" s="18"/>
      <c r="R441" s="40"/>
      <c r="V441" s="71"/>
    </row>
    <row r="442" spans="4:22" s="6" customFormat="1" x14ac:dyDescent="0.3">
      <c r="D442" s="18"/>
      <c r="F442" s="18"/>
      <c r="G442" s="50"/>
      <c r="H442" s="55"/>
      <c r="I442" s="8"/>
      <c r="O442" s="45"/>
      <c r="P442" s="69"/>
      <c r="Q442" s="18"/>
      <c r="R442" s="40"/>
      <c r="V442" s="71"/>
    </row>
    <row r="443" spans="4:22" s="6" customFormat="1" x14ac:dyDescent="0.3">
      <c r="D443" s="18"/>
      <c r="F443" s="18"/>
      <c r="G443" s="50"/>
      <c r="H443" s="55"/>
      <c r="I443" s="8"/>
      <c r="O443" s="45"/>
      <c r="P443" s="69"/>
      <c r="Q443" s="18"/>
      <c r="R443" s="40"/>
      <c r="V443" s="71"/>
    </row>
    <row r="444" spans="4:22" s="6" customFormat="1" x14ac:dyDescent="0.3">
      <c r="D444" s="18"/>
      <c r="F444" s="18"/>
      <c r="G444" s="50"/>
      <c r="H444" s="55"/>
      <c r="I444" s="8"/>
      <c r="O444" s="45"/>
      <c r="P444" s="69"/>
      <c r="Q444" s="18"/>
      <c r="R444" s="40"/>
      <c r="V444" s="71"/>
    </row>
    <row r="445" spans="4:22" s="6" customFormat="1" x14ac:dyDescent="0.3">
      <c r="D445" s="18"/>
      <c r="F445" s="18"/>
      <c r="G445" s="50"/>
      <c r="H445" s="55"/>
      <c r="I445" s="8"/>
      <c r="O445" s="45"/>
      <c r="P445" s="69"/>
      <c r="Q445" s="18"/>
      <c r="R445" s="40"/>
      <c r="V445" s="71"/>
    </row>
    <row r="446" spans="4:22" s="6" customFormat="1" x14ac:dyDescent="0.3">
      <c r="D446" s="18"/>
      <c r="F446" s="18"/>
      <c r="G446" s="50"/>
      <c r="H446" s="55"/>
      <c r="I446" s="8"/>
      <c r="O446" s="45"/>
      <c r="P446" s="69"/>
      <c r="Q446" s="18"/>
      <c r="R446" s="40"/>
      <c r="V446" s="71"/>
    </row>
    <row r="447" spans="4:22" s="6" customFormat="1" x14ac:dyDescent="0.3">
      <c r="D447" s="18"/>
      <c r="F447" s="18"/>
      <c r="G447" s="50"/>
      <c r="H447" s="55"/>
      <c r="I447" s="8"/>
      <c r="O447" s="45"/>
      <c r="P447" s="69"/>
      <c r="Q447" s="18"/>
      <c r="R447" s="40"/>
      <c r="V447" s="71"/>
    </row>
    <row r="448" spans="4:22" s="6" customFormat="1" x14ac:dyDescent="0.3">
      <c r="D448" s="18"/>
      <c r="F448" s="18"/>
      <c r="G448" s="50"/>
      <c r="H448" s="55"/>
      <c r="I448" s="8"/>
      <c r="O448" s="45"/>
      <c r="P448" s="69"/>
      <c r="Q448" s="18"/>
      <c r="R448" s="40"/>
      <c r="V448" s="71"/>
    </row>
    <row r="449" spans="4:22" s="6" customFormat="1" x14ac:dyDescent="0.3">
      <c r="D449" s="18"/>
      <c r="F449" s="18"/>
      <c r="G449" s="50"/>
      <c r="H449" s="55"/>
      <c r="I449" s="8"/>
      <c r="O449" s="45"/>
      <c r="P449" s="69"/>
      <c r="Q449" s="18"/>
      <c r="R449" s="40"/>
      <c r="V449" s="71"/>
    </row>
    <row r="450" spans="4:22" s="6" customFormat="1" x14ac:dyDescent="0.3">
      <c r="D450" s="18"/>
      <c r="F450" s="18"/>
      <c r="G450" s="50"/>
      <c r="H450" s="55"/>
      <c r="I450" s="8"/>
      <c r="O450" s="45"/>
      <c r="P450" s="69"/>
      <c r="Q450" s="18"/>
      <c r="R450" s="40"/>
      <c r="V450" s="71"/>
    </row>
    <row r="451" spans="4:22" s="6" customFormat="1" x14ac:dyDescent="0.3">
      <c r="D451" s="18"/>
      <c r="F451" s="18"/>
      <c r="G451" s="50"/>
      <c r="H451" s="55"/>
      <c r="I451" s="8"/>
      <c r="O451" s="45"/>
      <c r="P451" s="69"/>
      <c r="Q451" s="18"/>
      <c r="R451" s="40"/>
      <c r="V451" s="71"/>
    </row>
    <row r="452" spans="4:22" s="6" customFormat="1" x14ac:dyDescent="0.3">
      <c r="D452" s="18"/>
      <c r="F452" s="18"/>
      <c r="G452" s="50"/>
      <c r="H452" s="55"/>
      <c r="I452" s="8"/>
      <c r="O452" s="45"/>
      <c r="P452" s="69"/>
      <c r="Q452" s="18"/>
      <c r="R452" s="40"/>
      <c r="V452" s="71"/>
    </row>
    <row r="453" spans="4:22" s="6" customFormat="1" x14ac:dyDescent="0.3">
      <c r="D453" s="18"/>
      <c r="F453" s="18"/>
      <c r="G453" s="50"/>
      <c r="H453" s="55"/>
      <c r="I453" s="8"/>
      <c r="O453" s="45"/>
      <c r="P453" s="69"/>
      <c r="Q453" s="18"/>
      <c r="R453" s="40"/>
      <c r="V453" s="71"/>
    </row>
    <row r="454" spans="4:22" s="6" customFormat="1" x14ac:dyDescent="0.3">
      <c r="D454" s="18"/>
      <c r="F454" s="18"/>
      <c r="G454" s="50"/>
      <c r="H454" s="55"/>
      <c r="I454" s="8"/>
      <c r="O454" s="45"/>
      <c r="P454" s="69"/>
      <c r="Q454" s="18"/>
      <c r="R454" s="40"/>
      <c r="V454" s="71"/>
    </row>
    <row r="455" spans="4:22" s="6" customFormat="1" x14ac:dyDescent="0.3">
      <c r="D455" s="18"/>
      <c r="F455" s="18"/>
      <c r="G455" s="50"/>
      <c r="H455" s="55"/>
      <c r="I455" s="8"/>
      <c r="O455" s="45"/>
      <c r="P455" s="69"/>
      <c r="Q455" s="18"/>
      <c r="R455" s="40"/>
      <c r="V455" s="71"/>
    </row>
    <row r="456" spans="4:22" s="6" customFormat="1" x14ac:dyDescent="0.3">
      <c r="D456" s="18"/>
      <c r="F456" s="18"/>
      <c r="G456" s="50"/>
      <c r="H456" s="55"/>
      <c r="I456" s="8"/>
      <c r="O456" s="45"/>
      <c r="P456" s="69"/>
      <c r="Q456" s="18"/>
      <c r="R456" s="40"/>
      <c r="V456" s="71"/>
    </row>
    <row r="457" spans="4:22" s="6" customFormat="1" x14ac:dyDescent="0.3">
      <c r="D457" s="18"/>
      <c r="F457" s="18"/>
      <c r="G457" s="50"/>
      <c r="H457" s="55"/>
      <c r="I457" s="8"/>
      <c r="O457" s="45"/>
      <c r="P457" s="69"/>
      <c r="Q457" s="18"/>
      <c r="R457" s="40"/>
      <c r="V457" s="71"/>
    </row>
    <row r="458" spans="4:22" s="6" customFormat="1" x14ac:dyDescent="0.3">
      <c r="D458" s="18"/>
      <c r="F458" s="18"/>
      <c r="G458" s="50"/>
      <c r="H458" s="55"/>
      <c r="I458" s="8"/>
      <c r="O458" s="45"/>
      <c r="P458" s="69"/>
      <c r="Q458" s="18"/>
      <c r="R458" s="40"/>
      <c r="V458" s="71"/>
    </row>
    <row r="459" spans="4:22" s="6" customFormat="1" x14ac:dyDescent="0.3">
      <c r="D459" s="18"/>
      <c r="F459" s="18"/>
      <c r="G459" s="50"/>
      <c r="H459" s="55"/>
      <c r="I459" s="8"/>
      <c r="O459" s="45"/>
      <c r="P459" s="69"/>
      <c r="Q459" s="18"/>
      <c r="R459" s="40"/>
      <c r="V459" s="71"/>
    </row>
    <row r="460" spans="4:22" s="6" customFormat="1" x14ac:dyDescent="0.3">
      <c r="D460" s="18"/>
      <c r="F460" s="18"/>
      <c r="G460" s="50"/>
      <c r="H460" s="55"/>
      <c r="I460" s="8"/>
      <c r="O460" s="45"/>
      <c r="P460" s="69"/>
      <c r="Q460" s="18"/>
      <c r="R460" s="40"/>
      <c r="V460" s="71"/>
    </row>
    <row r="461" spans="4:22" s="6" customFormat="1" x14ac:dyDescent="0.3">
      <c r="D461" s="18"/>
      <c r="F461" s="18"/>
      <c r="G461" s="50"/>
      <c r="H461" s="55"/>
      <c r="I461" s="8"/>
      <c r="O461" s="45"/>
      <c r="P461" s="69"/>
      <c r="Q461" s="18"/>
      <c r="R461" s="40"/>
      <c r="V461" s="71"/>
    </row>
    <row r="462" spans="4:22" s="6" customFormat="1" x14ac:dyDescent="0.3">
      <c r="D462" s="18"/>
      <c r="F462" s="18"/>
      <c r="G462" s="50"/>
      <c r="H462" s="55"/>
      <c r="I462" s="8"/>
      <c r="O462" s="45"/>
      <c r="P462" s="69"/>
      <c r="Q462" s="18"/>
      <c r="R462" s="40"/>
      <c r="V462" s="71"/>
    </row>
    <row r="463" spans="4:22" s="6" customFormat="1" x14ac:dyDescent="0.3">
      <c r="D463" s="18"/>
      <c r="F463" s="18"/>
      <c r="G463" s="50"/>
      <c r="H463" s="55"/>
      <c r="I463" s="8"/>
      <c r="O463" s="45"/>
      <c r="P463" s="69"/>
      <c r="Q463" s="18"/>
      <c r="R463" s="40"/>
      <c r="V463" s="71"/>
    </row>
    <row r="464" spans="4:22" s="6" customFormat="1" x14ac:dyDescent="0.3">
      <c r="D464" s="18"/>
      <c r="F464" s="18"/>
      <c r="G464" s="50"/>
      <c r="H464" s="55"/>
      <c r="I464" s="8"/>
      <c r="O464" s="45"/>
      <c r="P464" s="69"/>
      <c r="Q464" s="18"/>
      <c r="R464" s="40"/>
      <c r="V464" s="71"/>
    </row>
    <row r="465" spans="4:22" s="6" customFormat="1" x14ac:dyDescent="0.3">
      <c r="D465" s="18"/>
      <c r="F465" s="18"/>
      <c r="G465" s="50"/>
      <c r="H465" s="55"/>
      <c r="I465" s="8"/>
      <c r="O465" s="45"/>
      <c r="P465" s="69"/>
      <c r="Q465" s="18"/>
      <c r="R465" s="40"/>
      <c r="V465" s="71"/>
    </row>
    <row r="466" spans="4:22" s="6" customFormat="1" x14ac:dyDescent="0.3">
      <c r="D466" s="18"/>
      <c r="F466" s="18"/>
      <c r="G466" s="50"/>
      <c r="H466" s="55"/>
      <c r="I466" s="8"/>
      <c r="O466" s="45"/>
      <c r="P466" s="69"/>
      <c r="Q466" s="18"/>
      <c r="R466" s="40"/>
      <c r="V466" s="71"/>
    </row>
    <row r="467" spans="4:22" s="6" customFormat="1" x14ac:dyDescent="0.3">
      <c r="D467" s="18"/>
      <c r="F467" s="18"/>
      <c r="G467" s="50"/>
      <c r="H467" s="55"/>
      <c r="I467" s="8"/>
      <c r="O467" s="45"/>
      <c r="P467" s="69"/>
      <c r="Q467" s="18"/>
      <c r="R467" s="40"/>
      <c r="V467" s="71"/>
    </row>
    <row r="468" spans="4:22" s="6" customFormat="1" x14ac:dyDescent="0.3">
      <c r="D468" s="18"/>
      <c r="F468" s="18"/>
      <c r="G468" s="50"/>
      <c r="H468" s="55"/>
      <c r="I468" s="8"/>
      <c r="O468" s="45"/>
      <c r="P468" s="69"/>
      <c r="Q468" s="18"/>
      <c r="R468" s="40"/>
      <c r="V468" s="71"/>
    </row>
    <row r="469" spans="4:22" s="6" customFormat="1" x14ac:dyDescent="0.3">
      <c r="D469" s="18"/>
      <c r="F469" s="18"/>
      <c r="G469" s="50"/>
      <c r="H469" s="55"/>
      <c r="I469" s="8"/>
      <c r="O469" s="45"/>
      <c r="P469" s="69"/>
      <c r="Q469" s="18"/>
      <c r="R469" s="40"/>
      <c r="V469" s="71"/>
    </row>
    <row r="470" spans="4:22" s="6" customFormat="1" x14ac:dyDescent="0.3">
      <c r="D470" s="18"/>
      <c r="F470" s="18"/>
      <c r="G470" s="50"/>
      <c r="H470" s="55"/>
      <c r="I470" s="8"/>
      <c r="O470" s="45"/>
      <c r="P470" s="69"/>
      <c r="Q470" s="18"/>
      <c r="R470" s="40"/>
      <c r="V470" s="71"/>
    </row>
    <row r="471" spans="4:22" s="6" customFormat="1" x14ac:dyDescent="0.3">
      <c r="D471" s="18"/>
      <c r="F471" s="18"/>
      <c r="G471" s="50"/>
      <c r="H471" s="55"/>
      <c r="I471" s="8"/>
      <c r="O471" s="45"/>
      <c r="P471" s="69"/>
      <c r="Q471" s="18"/>
      <c r="R471" s="40"/>
      <c r="V471" s="71"/>
    </row>
    <row r="472" spans="4:22" s="6" customFormat="1" x14ac:dyDescent="0.3">
      <c r="D472" s="18"/>
      <c r="F472" s="18"/>
      <c r="G472" s="50"/>
      <c r="H472" s="55"/>
      <c r="I472" s="8"/>
      <c r="O472" s="45"/>
      <c r="P472" s="69"/>
      <c r="Q472" s="18"/>
      <c r="R472" s="40"/>
      <c r="V472" s="71"/>
    </row>
    <row r="473" spans="4:22" s="6" customFormat="1" x14ac:dyDescent="0.3">
      <c r="D473" s="18"/>
      <c r="F473" s="18"/>
      <c r="G473" s="50"/>
      <c r="H473" s="55"/>
      <c r="I473" s="8"/>
      <c r="O473" s="45"/>
      <c r="P473" s="69"/>
      <c r="Q473" s="18"/>
      <c r="R473" s="40"/>
      <c r="V473" s="71"/>
    </row>
    <row r="474" spans="4:22" s="6" customFormat="1" x14ac:dyDescent="0.3">
      <c r="D474" s="18"/>
      <c r="F474" s="18"/>
      <c r="G474" s="50"/>
      <c r="H474" s="55"/>
      <c r="I474" s="8"/>
      <c r="O474" s="45"/>
      <c r="P474" s="69"/>
      <c r="Q474" s="18"/>
      <c r="R474" s="40"/>
      <c r="V474" s="71"/>
    </row>
    <row r="475" spans="4:22" s="6" customFormat="1" x14ac:dyDescent="0.3">
      <c r="D475" s="18"/>
      <c r="F475" s="18"/>
      <c r="G475" s="50"/>
      <c r="H475" s="55"/>
      <c r="I475" s="8"/>
      <c r="O475" s="45"/>
      <c r="P475" s="69"/>
      <c r="Q475" s="18"/>
      <c r="R475" s="40"/>
      <c r="V475" s="71"/>
    </row>
    <row r="476" spans="4:22" s="6" customFormat="1" x14ac:dyDescent="0.3">
      <c r="D476" s="18"/>
      <c r="F476" s="18"/>
      <c r="G476" s="50"/>
      <c r="H476" s="55"/>
      <c r="I476" s="8"/>
      <c r="O476" s="45"/>
      <c r="P476" s="69"/>
      <c r="Q476" s="18"/>
      <c r="R476" s="40"/>
      <c r="V476" s="71"/>
    </row>
    <row r="477" spans="4:22" s="6" customFormat="1" x14ac:dyDescent="0.3">
      <c r="D477" s="18"/>
      <c r="F477" s="18"/>
      <c r="G477" s="50"/>
      <c r="H477" s="55"/>
      <c r="I477" s="8"/>
      <c r="O477" s="45"/>
      <c r="P477" s="69"/>
      <c r="Q477" s="18"/>
      <c r="R477" s="40"/>
      <c r="V477" s="71"/>
    </row>
    <row r="478" spans="4:22" s="6" customFormat="1" x14ac:dyDescent="0.3">
      <c r="D478" s="18"/>
      <c r="F478" s="18"/>
      <c r="G478" s="50"/>
      <c r="H478" s="55"/>
      <c r="I478" s="8"/>
      <c r="O478" s="45"/>
      <c r="P478" s="69"/>
      <c r="Q478" s="18"/>
      <c r="R478" s="40"/>
      <c r="V478" s="71"/>
    </row>
    <row r="479" spans="4:22" s="6" customFormat="1" x14ac:dyDescent="0.3">
      <c r="D479" s="18"/>
      <c r="F479" s="18"/>
      <c r="G479" s="50"/>
      <c r="H479" s="55"/>
      <c r="I479" s="8"/>
      <c r="O479" s="45"/>
      <c r="P479" s="69"/>
      <c r="Q479" s="18"/>
      <c r="R479" s="40"/>
      <c r="V479" s="71"/>
    </row>
    <row r="480" spans="4:22" s="6" customFormat="1" x14ac:dyDescent="0.3">
      <c r="D480" s="18"/>
      <c r="F480" s="18"/>
      <c r="G480" s="50"/>
      <c r="H480" s="55"/>
      <c r="I480" s="8"/>
      <c r="O480" s="45"/>
      <c r="P480" s="69"/>
      <c r="Q480" s="18"/>
      <c r="R480" s="40"/>
      <c r="V480" s="71"/>
    </row>
    <row r="481" spans="4:22" s="6" customFormat="1" x14ac:dyDescent="0.3">
      <c r="D481" s="18"/>
      <c r="F481" s="18"/>
      <c r="G481" s="50"/>
      <c r="H481" s="55"/>
      <c r="I481" s="8"/>
      <c r="O481" s="45"/>
      <c r="P481" s="69"/>
      <c r="Q481" s="18"/>
      <c r="R481" s="40"/>
      <c r="V481" s="71"/>
    </row>
    <row r="482" spans="4:22" s="6" customFormat="1" x14ac:dyDescent="0.3">
      <c r="D482" s="18"/>
      <c r="F482" s="18"/>
      <c r="G482" s="50"/>
      <c r="H482" s="55"/>
      <c r="I482" s="8"/>
      <c r="O482" s="45"/>
      <c r="P482" s="69"/>
      <c r="Q482" s="18"/>
      <c r="R482" s="40"/>
      <c r="V482" s="71"/>
    </row>
    <row r="483" spans="4:22" s="6" customFormat="1" x14ac:dyDescent="0.3">
      <c r="D483" s="18"/>
      <c r="F483" s="18"/>
      <c r="G483" s="50"/>
      <c r="H483" s="55"/>
      <c r="I483" s="8"/>
      <c r="O483" s="45"/>
      <c r="P483" s="69"/>
      <c r="Q483" s="18"/>
      <c r="R483" s="40"/>
      <c r="V483" s="71"/>
    </row>
    <row r="484" spans="4:22" s="6" customFormat="1" x14ac:dyDescent="0.3">
      <c r="D484" s="18"/>
      <c r="F484" s="18"/>
      <c r="G484" s="50"/>
      <c r="H484" s="55"/>
      <c r="I484" s="8"/>
      <c r="O484" s="45"/>
      <c r="P484" s="69"/>
      <c r="Q484" s="18"/>
      <c r="R484" s="40"/>
      <c r="V484" s="71"/>
    </row>
    <row r="485" spans="4:22" s="6" customFormat="1" x14ac:dyDescent="0.3">
      <c r="D485" s="18"/>
      <c r="F485" s="18"/>
      <c r="G485" s="50"/>
      <c r="H485" s="55"/>
      <c r="I485" s="8"/>
      <c r="O485" s="45"/>
      <c r="P485" s="69"/>
      <c r="Q485" s="18"/>
      <c r="R485" s="40"/>
      <c r="V485" s="71"/>
    </row>
    <row r="486" spans="4:22" s="6" customFormat="1" x14ac:dyDescent="0.3">
      <c r="D486" s="18"/>
      <c r="F486" s="18"/>
      <c r="G486" s="50"/>
      <c r="H486" s="55"/>
      <c r="I486" s="8"/>
      <c r="O486" s="45"/>
      <c r="P486" s="69"/>
      <c r="Q486" s="18"/>
      <c r="R486" s="40"/>
      <c r="V486" s="71"/>
    </row>
    <row r="487" spans="4:22" s="6" customFormat="1" x14ac:dyDescent="0.3">
      <c r="D487" s="18"/>
      <c r="F487" s="18"/>
      <c r="G487" s="50"/>
      <c r="H487" s="55"/>
      <c r="I487" s="8"/>
      <c r="O487" s="45"/>
      <c r="P487" s="69"/>
      <c r="Q487" s="18"/>
      <c r="R487" s="40"/>
      <c r="V487" s="71"/>
    </row>
    <row r="488" spans="4:22" s="6" customFormat="1" x14ac:dyDescent="0.3">
      <c r="D488" s="18"/>
      <c r="F488" s="18"/>
      <c r="G488" s="50"/>
      <c r="H488" s="55"/>
      <c r="I488" s="8"/>
      <c r="O488" s="45"/>
      <c r="P488" s="69"/>
      <c r="Q488" s="18"/>
      <c r="R488" s="40"/>
      <c r="V488" s="71"/>
    </row>
    <row r="489" spans="4:22" s="6" customFormat="1" x14ac:dyDescent="0.3">
      <c r="D489" s="18"/>
      <c r="F489" s="18"/>
      <c r="G489" s="50"/>
      <c r="H489" s="55"/>
      <c r="I489" s="8"/>
      <c r="O489" s="45"/>
      <c r="P489" s="69"/>
      <c r="Q489" s="18"/>
      <c r="R489" s="40"/>
      <c r="V489" s="71"/>
    </row>
    <row r="490" spans="4:22" s="6" customFormat="1" x14ac:dyDescent="0.3">
      <c r="D490" s="18"/>
      <c r="F490" s="18"/>
      <c r="G490" s="50"/>
      <c r="H490" s="55"/>
      <c r="I490" s="8"/>
      <c r="O490" s="45"/>
      <c r="P490" s="69"/>
      <c r="Q490" s="18"/>
      <c r="R490" s="40"/>
      <c r="V490" s="71"/>
    </row>
    <row r="491" spans="4:22" s="6" customFormat="1" x14ac:dyDescent="0.3">
      <c r="D491" s="18"/>
      <c r="F491" s="18"/>
      <c r="G491" s="50"/>
      <c r="H491" s="55"/>
      <c r="I491" s="8"/>
      <c r="O491" s="45"/>
      <c r="P491" s="69"/>
      <c r="Q491" s="18"/>
      <c r="R491" s="40"/>
      <c r="V491" s="71"/>
    </row>
    <row r="492" spans="4:22" s="6" customFormat="1" x14ac:dyDescent="0.3">
      <c r="D492" s="18"/>
      <c r="F492" s="18"/>
      <c r="G492" s="50"/>
      <c r="H492" s="55"/>
      <c r="I492" s="8"/>
      <c r="O492" s="45"/>
      <c r="P492" s="69"/>
      <c r="Q492" s="18"/>
      <c r="R492" s="40"/>
      <c r="V492" s="71"/>
    </row>
    <row r="493" spans="4:22" s="6" customFormat="1" x14ac:dyDescent="0.3">
      <c r="D493" s="18"/>
      <c r="F493" s="18"/>
      <c r="G493" s="50"/>
      <c r="H493" s="55"/>
      <c r="I493" s="8"/>
      <c r="O493" s="45"/>
      <c r="P493" s="69"/>
      <c r="Q493" s="18"/>
      <c r="R493" s="40"/>
      <c r="V493" s="71"/>
    </row>
    <row r="494" spans="4:22" s="6" customFormat="1" x14ac:dyDescent="0.3">
      <c r="D494" s="18"/>
      <c r="F494" s="18"/>
      <c r="G494" s="50"/>
      <c r="H494" s="55"/>
      <c r="I494" s="8"/>
      <c r="O494" s="45"/>
      <c r="P494" s="69"/>
      <c r="Q494" s="18"/>
      <c r="R494" s="40"/>
      <c r="V494" s="71"/>
    </row>
    <row r="495" spans="4:22" s="6" customFormat="1" x14ac:dyDescent="0.3">
      <c r="D495" s="18"/>
      <c r="F495" s="18"/>
      <c r="G495" s="50"/>
      <c r="H495" s="55"/>
      <c r="I495" s="8"/>
      <c r="O495" s="45"/>
      <c r="P495" s="69"/>
      <c r="Q495" s="18"/>
      <c r="R495" s="40"/>
      <c r="V495" s="71"/>
    </row>
    <row r="496" spans="4:22" s="6" customFormat="1" x14ac:dyDescent="0.3">
      <c r="D496" s="18"/>
      <c r="F496" s="18"/>
      <c r="G496" s="50"/>
      <c r="H496" s="55"/>
      <c r="I496" s="8"/>
      <c r="O496" s="45"/>
      <c r="P496" s="69"/>
      <c r="Q496" s="18"/>
      <c r="R496" s="40"/>
      <c r="V496" s="71"/>
    </row>
    <row r="497" spans="4:22" s="6" customFormat="1" x14ac:dyDescent="0.3">
      <c r="D497" s="18"/>
      <c r="F497" s="18"/>
      <c r="G497" s="50"/>
      <c r="H497" s="55"/>
      <c r="I497" s="8"/>
      <c r="O497" s="45"/>
      <c r="P497" s="69"/>
      <c r="Q497" s="18"/>
      <c r="R497" s="40"/>
      <c r="V497" s="71"/>
    </row>
    <row r="498" spans="4:22" s="6" customFormat="1" x14ac:dyDescent="0.3">
      <c r="D498" s="18"/>
      <c r="F498" s="18"/>
      <c r="G498" s="50"/>
      <c r="H498" s="55"/>
      <c r="I498" s="8"/>
      <c r="O498" s="45"/>
      <c r="P498" s="69"/>
      <c r="Q498" s="18"/>
      <c r="R498" s="40"/>
      <c r="V498" s="71"/>
    </row>
    <row r="499" spans="4:22" s="6" customFormat="1" x14ac:dyDescent="0.3">
      <c r="D499" s="18"/>
      <c r="F499" s="18"/>
      <c r="G499" s="50"/>
      <c r="H499" s="55"/>
      <c r="I499" s="8"/>
      <c r="O499" s="45"/>
      <c r="P499" s="69"/>
      <c r="Q499" s="18"/>
      <c r="R499" s="40"/>
      <c r="V499" s="71"/>
    </row>
    <row r="500" spans="4:22" s="6" customFormat="1" x14ac:dyDescent="0.3">
      <c r="D500" s="18"/>
      <c r="F500" s="18"/>
      <c r="G500" s="50"/>
      <c r="H500" s="55"/>
      <c r="I500" s="8"/>
      <c r="O500" s="45"/>
      <c r="P500" s="69"/>
      <c r="Q500" s="18"/>
      <c r="R500" s="40"/>
      <c r="V500" s="71"/>
    </row>
    <row r="501" spans="4:22" s="6" customFormat="1" x14ac:dyDescent="0.3">
      <c r="D501" s="18"/>
      <c r="F501" s="18"/>
      <c r="G501" s="50"/>
      <c r="H501" s="55"/>
      <c r="I501" s="8"/>
      <c r="O501" s="45"/>
      <c r="P501" s="69"/>
      <c r="Q501" s="18"/>
      <c r="R501" s="40"/>
      <c r="V501" s="71"/>
    </row>
    <row r="502" spans="4:22" s="6" customFormat="1" x14ac:dyDescent="0.3">
      <c r="D502" s="18"/>
      <c r="F502" s="18"/>
      <c r="G502" s="50"/>
      <c r="H502" s="55"/>
      <c r="I502" s="8"/>
      <c r="O502" s="45"/>
      <c r="P502" s="69"/>
      <c r="Q502" s="18"/>
      <c r="R502" s="40"/>
      <c r="V502" s="71"/>
    </row>
    <row r="503" spans="4:22" s="6" customFormat="1" x14ac:dyDescent="0.3">
      <c r="D503" s="18"/>
      <c r="F503" s="18"/>
      <c r="G503" s="50"/>
      <c r="H503" s="55"/>
      <c r="I503" s="8"/>
      <c r="O503" s="45"/>
      <c r="P503" s="69"/>
      <c r="Q503" s="18"/>
      <c r="R503" s="40"/>
      <c r="V503" s="71"/>
    </row>
    <row r="504" spans="4:22" s="6" customFormat="1" x14ac:dyDescent="0.3">
      <c r="D504" s="18"/>
      <c r="F504" s="18"/>
      <c r="G504" s="50"/>
      <c r="H504" s="55"/>
      <c r="I504" s="8"/>
      <c r="O504" s="45"/>
      <c r="P504" s="69"/>
      <c r="Q504" s="18"/>
      <c r="R504" s="40"/>
      <c r="V504" s="71"/>
    </row>
    <row r="505" spans="4:22" s="6" customFormat="1" x14ac:dyDescent="0.3">
      <c r="D505" s="18"/>
      <c r="F505" s="18"/>
      <c r="G505" s="50"/>
      <c r="H505" s="55"/>
      <c r="I505" s="8"/>
      <c r="O505" s="45"/>
      <c r="P505" s="69"/>
      <c r="Q505" s="18"/>
      <c r="R505" s="40"/>
      <c r="V505" s="71"/>
    </row>
    <row r="506" spans="4:22" s="6" customFormat="1" x14ac:dyDescent="0.3">
      <c r="D506" s="18"/>
      <c r="F506" s="18"/>
      <c r="G506" s="50"/>
      <c r="H506" s="55"/>
      <c r="I506" s="8"/>
      <c r="O506" s="45"/>
      <c r="P506" s="69"/>
      <c r="Q506" s="18"/>
      <c r="R506" s="40"/>
      <c r="V506" s="71"/>
    </row>
    <row r="507" spans="4:22" s="6" customFormat="1" x14ac:dyDescent="0.3">
      <c r="D507" s="18"/>
      <c r="F507" s="18"/>
      <c r="G507" s="50"/>
      <c r="H507" s="55"/>
      <c r="I507" s="8"/>
      <c r="O507" s="45"/>
      <c r="P507" s="69"/>
      <c r="Q507" s="18"/>
      <c r="R507" s="40"/>
      <c r="V507" s="71"/>
    </row>
    <row r="508" spans="4:22" s="6" customFormat="1" x14ac:dyDescent="0.3">
      <c r="D508" s="18"/>
      <c r="F508" s="18"/>
      <c r="G508" s="50"/>
      <c r="H508" s="55"/>
      <c r="I508" s="8"/>
      <c r="O508" s="45"/>
      <c r="P508" s="69"/>
      <c r="Q508" s="18"/>
      <c r="R508" s="40"/>
      <c r="V508" s="71"/>
    </row>
    <row r="509" spans="4:22" s="6" customFormat="1" x14ac:dyDescent="0.3">
      <c r="D509" s="18"/>
      <c r="F509" s="18"/>
      <c r="G509" s="50"/>
      <c r="H509" s="55"/>
      <c r="I509" s="8"/>
      <c r="O509" s="45"/>
      <c r="P509" s="69"/>
      <c r="Q509" s="18"/>
      <c r="R509" s="40"/>
      <c r="V509" s="71"/>
    </row>
    <row r="510" spans="4:22" s="6" customFormat="1" x14ac:dyDescent="0.3">
      <c r="D510" s="18"/>
      <c r="F510" s="18"/>
      <c r="G510" s="50"/>
      <c r="H510" s="55"/>
      <c r="I510" s="8"/>
      <c r="O510" s="45"/>
      <c r="P510" s="69"/>
      <c r="Q510" s="18"/>
      <c r="R510" s="40"/>
      <c r="V510" s="71"/>
    </row>
    <row r="511" spans="4:22" s="6" customFormat="1" x14ac:dyDescent="0.3">
      <c r="D511" s="18"/>
      <c r="F511" s="18"/>
      <c r="G511" s="50"/>
      <c r="H511" s="55"/>
      <c r="I511" s="8"/>
      <c r="O511" s="45"/>
      <c r="P511" s="69"/>
      <c r="Q511" s="18"/>
      <c r="R511" s="40"/>
      <c r="V511" s="71"/>
    </row>
    <row r="512" spans="4:22" s="6" customFormat="1" x14ac:dyDescent="0.3">
      <c r="D512" s="18"/>
      <c r="F512" s="18"/>
      <c r="G512" s="50"/>
      <c r="H512" s="55"/>
      <c r="I512" s="8"/>
      <c r="O512" s="45"/>
      <c r="P512" s="69"/>
      <c r="Q512" s="18"/>
      <c r="R512" s="40"/>
      <c r="V512" s="71"/>
    </row>
    <row r="513" spans="4:22" s="6" customFormat="1" x14ac:dyDescent="0.3">
      <c r="D513" s="18"/>
      <c r="F513" s="18"/>
      <c r="G513" s="50"/>
      <c r="H513" s="55"/>
      <c r="I513" s="8"/>
      <c r="O513" s="45"/>
      <c r="P513" s="69"/>
      <c r="Q513" s="18"/>
      <c r="R513" s="40"/>
      <c r="V513" s="71"/>
    </row>
    <row r="514" spans="4:22" s="6" customFormat="1" x14ac:dyDescent="0.3">
      <c r="D514" s="18"/>
      <c r="F514" s="18"/>
      <c r="G514" s="50"/>
      <c r="H514" s="55"/>
      <c r="I514" s="8"/>
      <c r="O514" s="45"/>
      <c r="P514" s="69"/>
      <c r="Q514" s="18"/>
      <c r="R514" s="40"/>
      <c r="V514" s="71"/>
    </row>
    <row r="515" spans="4:22" s="6" customFormat="1" x14ac:dyDescent="0.3">
      <c r="D515" s="18"/>
      <c r="F515" s="18"/>
      <c r="G515" s="50"/>
      <c r="H515" s="55"/>
      <c r="I515" s="8"/>
      <c r="O515" s="45"/>
      <c r="P515" s="69"/>
      <c r="Q515" s="18"/>
      <c r="R515" s="40"/>
      <c r="V515" s="71"/>
    </row>
    <row r="516" spans="4:22" s="6" customFormat="1" x14ac:dyDescent="0.3">
      <c r="D516" s="18"/>
      <c r="F516" s="18"/>
      <c r="G516" s="50"/>
      <c r="H516" s="55"/>
      <c r="I516" s="8"/>
      <c r="O516" s="45"/>
      <c r="P516" s="69"/>
      <c r="Q516" s="18"/>
      <c r="R516" s="40"/>
      <c r="V516" s="71"/>
    </row>
    <row r="517" spans="4:22" s="6" customFormat="1" x14ac:dyDescent="0.3">
      <c r="D517" s="18"/>
      <c r="F517" s="18"/>
      <c r="G517" s="50"/>
      <c r="H517" s="55"/>
      <c r="I517" s="8"/>
      <c r="O517" s="45"/>
      <c r="P517" s="69"/>
      <c r="Q517" s="18"/>
      <c r="R517" s="40"/>
      <c r="V517" s="71"/>
    </row>
    <row r="518" spans="4:22" s="6" customFormat="1" x14ac:dyDescent="0.3">
      <c r="D518" s="18"/>
      <c r="F518" s="18"/>
      <c r="G518" s="50"/>
      <c r="H518" s="55"/>
      <c r="I518" s="8"/>
      <c r="O518" s="45"/>
      <c r="P518" s="69"/>
      <c r="Q518" s="18"/>
      <c r="R518" s="40"/>
      <c r="V518" s="71"/>
    </row>
    <row r="519" spans="4:22" s="6" customFormat="1" x14ac:dyDescent="0.3">
      <c r="D519" s="18"/>
      <c r="F519" s="18"/>
      <c r="G519" s="50"/>
      <c r="H519" s="55"/>
      <c r="I519" s="8"/>
      <c r="O519" s="45"/>
      <c r="P519" s="69"/>
      <c r="Q519" s="18"/>
      <c r="R519" s="40"/>
      <c r="V519" s="71"/>
    </row>
    <row r="520" spans="4:22" s="6" customFormat="1" x14ac:dyDescent="0.3">
      <c r="D520" s="18"/>
      <c r="F520" s="18"/>
      <c r="G520" s="50"/>
      <c r="H520" s="55"/>
      <c r="I520" s="8"/>
      <c r="O520" s="45"/>
      <c r="P520" s="69"/>
      <c r="Q520" s="18"/>
      <c r="R520" s="40"/>
      <c r="V520" s="71"/>
    </row>
    <row r="521" spans="4:22" s="6" customFormat="1" x14ac:dyDescent="0.3">
      <c r="D521" s="18"/>
      <c r="F521" s="18"/>
      <c r="G521" s="50"/>
      <c r="H521" s="55"/>
      <c r="I521" s="8"/>
      <c r="O521" s="45"/>
      <c r="P521" s="69"/>
      <c r="Q521" s="18"/>
      <c r="R521" s="40"/>
      <c r="V521" s="71"/>
    </row>
    <row r="522" spans="4:22" s="6" customFormat="1" x14ac:dyDescent="0.3">
      <c r="D522" s="18"/>
      <c r="F522" s="18"/>
      <c r="G522" s="50"/>
      <c r="H522" s="55"/>
      <c r="I522" s="8"/>
      <c r="O522" s="45"/>
      <c r="P522" s="69"/>
      <c r="Q522" s="18"/>
      <c r="R522" s="40"/>
      <c r="V522" s="71"/>
    </row>
    <row r="523" spans="4:22" s="6" customFormat="1" x14ac:dyDescent="0.3">
      <c r="D523" s="18"/>
      <c r="F523" s="18"/>
      <c r="G523" s="50"/>
      <c r="H523" s="55"/>
      <c r="I523" s="8"/>
      <c r="O523" s="45"/>
      <c r="P523" s="69"/>
      <c r="Q523" s="18"/>
      <c r="R523" s="40"/>
      <c r="V523" s="71"/>
    </row>
    <row r="524" spans="4:22" s="6" customFormat="1" x14ac:dyDescent="0.3">
      <c r="D524" s="18"/>
      <c r="F524" s="18"/>
      <c r="G524" s="50"/>
      <c r="H524" s="55"/>
      <c r="I524" s="8"/>
      <c r="O524" s="45"/>
      <c r="P524" s="69"/>
      <c r="Q524" s="18"/>
      <c r="R524" s="40"/>
      <c r="V524" s="71"/>
    </row>
    <row r="525" spans="4:22" s="6" customFormat="1" x14ac:dyDescent="0.3">
      <c r="D525" s="18"/>
      <c r="F525" s="18"/>
      <c r="G525" s="50"/>
      <c r="H525" s="55"/>
      <c r="I525" s="8"/>
      <c r="O525" s="45"/>
      <c r="P525" s="69"/>
      <c r="Q525" s="18"/>
      <c r="R525" s="40"/>
      <c r="V525" s="71"/>
    </row>
    <row r="526" spans="4:22" s="6" customFormat="1" x14ac:dyDescent="0.3">
      <c r="D526" s="18"/>
      <c r="F526" s="18"/>
      <c r="G526" s="50"/>
      <c r="H526" s="55"/>
      <c r="I526" s="8"/>
      <c r="O526" s="45"/>
      <c r="P526" s="69"/>
      <c r="Q526" s="18"/>
      <c r="R526" s="40"/>
      <c r="V526" s="71"/>
    </row>
    <row r="527" spans="4:22" s="6" customFormat="1" x14ac:dyDescent="0.3">
      <c r="D527" s="18"/>
      <c r="F527" s="18"/>
      <c r="G527" s="50"/>
      <c r="H527" s="55"/>
      <c r="I527" s="8"/>
      <c r="O527" s="45"/>
      <c r="P527" s="69"/>
      <c r="Q527" s="18"/>
      <c r="R527" s="40"/>
      <c r="V527" s="71"/>
    </row>
    <row r="528" spans="4:22" s="6" customFormat="1" x14ac:dyDescent="0.3">
      <c r="D528" s="18"/>
      <c r="F528" s="18"/>
      <c r="G528" s="50"/>
      <c r="H528" s="55"/>
      <c r="I528" s="8"/>
      <c r="O528" s="45"/>
      <c r="P528" s="69"/>
      <c r="Q528" s="18"/>
      <c r="R528" s="40"/>
      <c r="V528" s="71"/>
    </row>
    <row r="529" spans="4:22" s="6" customFormat="1" x14ac:dyDescent="0.3">
      <c r="D529" s="18"/>
      <c r="F529" s="18"/>
      <c r="G529" s="50"/>
      <c r="H529" s="55"/>
      <c r="I529" s="8"/>
      <c r="O529" s="45"/>
      <c r="P529" s="69"/>
      <c r="Q529" s="18"/>
      <c r="R529" s="40"/>
      <c r="V529" s="71"/>
    </row>
    <row r="530" spans="4:22" s="6" customFormat="1" x14ac:dyDescent="0.3">
      <c r="D530" s="18"/>
      <c r="F530" s="18"/>
      <c r="G530" s="50"/>
      <c r="H530" s="55"/>
      <c r="I530" s="8"/>
      <c r="O530" s="45"/>
      <c r="P530" s="69"/>
      <c r="Q530" s="18"/>
      <c r="R530" s="40"/>
      <c r="V530" s="71"/>
    </row>
    <row r="531" spans="4:22" s="6" customFormat="1" x14ac:dyDescent="0.3">
      <c r="D531" s="18"/>
      <c r="F531" s="18"/>
      <c r="G531" s="50"/>
      <c r="H531" s="55"/>
      <c r="I531" s="8"/>
      <c r="O531" s="45"/>
      <c r="P531" s="69"/>
      <c r="Q531" s="18"/>
      <c r="R531" s="40"/>
      <c r="V531" s="71"/>
    </row>
    <row r="532" spans="4:22" s="6" customFormat="1" x14ac:dyDescent="0.3">
      <c r="D532" s="18"/>
      <c r="F532" s="18"/>
      <c r="G532" s="50"/>
      <c r="H532" s="55"/>
      <c r="I532" s="8"/>
      <c r="O532" s="45"/>
      <c r="P532" s="69"/>
      <c r="Q532" s="18"/>
      <c r="R532" s="40"/>
      <c r="V532" s="71"/>
    </row>
    <row r="533" spans="4:22" s="6" customFormat="1" x14ac:dyDescent="0.3">
      <c r="D533" s="18"/>
      <c r="F533" s="18"/>
      <c r="G533" s="50"/>
      <c r="H533" s="55"/>
      <c r="I533" s="8"/>
      <c r="O533" s="45"/>
      <c r="P533" s="69"/>
      <c r="Q533" s="18"/>
      <c r="R533" s="40"/>
      <c r="V533" s="71"/>
    </row>
    <row r="534" spans="4:22" s="6" customFormat="1" x14ac:dyDescent="0.3">
      <c r="D534" s="18"/>
      <c r="F534" s="18"/>
      <c r="G534" s="50"/>
      <c r="H534" s="55"/>
      <c r="I534" s="8"/>
      <c r="O534" s="45"/>
      <c r="P534" s="69"/>
      <c r="Q534" s="18"/>
      <c r="R534" s="40"/>
      <c r="V534" s="71"/>
    </row>
    <row r="535" spans="4:22" s="6" customFormat="1" x14ac:dyDescent="0.3">
      <c r="D535" s="18"/>
      <c r="F535" s="18"/>
      <c r="G535" s="50"/>
      <c r="H535" s="55"/>
      <c r="I535" s="8"/>
      <c r="O535" s="45"/>
      <c r="P535" s="69"/>
      <c r="Q535" s="18"/>
      <c r="R535" s="40"/>
      <c r="V535" s="71"/>
    </row>
    <row r="536" spans="4:22" s="6" customFormat="1" x14ac:dyDescent="0.3">
      <c r="D536" s="18"/>
      <c r="F536" s="18"/>
      <c r="G536" s="50"/>
      <c r="H536" s="55"/>
      <c r="I536" s="8"/>
      <c r="O536" s="45"/>
      <c r="P536" s="69"/>
      <c r="Q536" s="18"/>
      <c r="R536" s="40"/>
      <c r="V536" s="71"/>
    </row>
    <row r="537" spans="4:22" s="6" customFormat="1" x14ac:dyDescent="0.3">
      <c r="D537" s="18"/>
      <c r="F537" s="18"/>
      <c r="G537" s="50"/>
      <c r="H537" s="55"/>
      <c r="I537" s="8"/>
      <c r="O537" s="45"/>
      <c r="P537" s="69"/>
      <c r="Q537" s="18"/>
      <c r="R537" s="40"/>
      <c r="V537" s="71"/>
    </row>
    <row r="538" spans="4:22" s="6" customFormat="1" x14ac:dyDescent="0.3">
      <c r="D538" s="18"/>
      <c r="F538" s="18"/>
      <c r="G538" s="50"/>
      <c r="H538" s="55"/>
      <c r="I538" s="8"/>
      <c r="O538" s="45"/>
      <c r="P538" s="69"/>
      <c r="Q538" s="18"/>
      <c r="R538" s="40"/>
      <c r="V538" s="71"/>
    </row>
    <row r="539" spans="4:22" s="6" customFormat="1" x14ac:dyDescent="0.3">
      <c r="D539" s="18"/>
      <c r="F539" s="18"/>
      <c r="G539" s="50"/>
      <c r="H539" s="55"/>
      <c r="I539" s="8"/>
      <c r="O539" s="45"/>
      <c r="P539" s="69"/>
      <c r="Q539" s="18"/>
      <c r="R539" s="40"/>
      <c r="V539" s="71"/>
    </row>
    <row r="540" spans="4:22" s="6" customFormat="1" x14ac:dyDescent="0.3">
      <c r="D540" s="18"/>
      <c r="F540" s="18"/>
      <c r="G540" s="50"/>
      <c r="H540" s="55"/>
      <c r="I540" s="8"/>
      <c r="O540" s="45"/>
      <c r="P540" s="69"/>
      <c r="Q540" s="18"/>
      <c r="R540" s="40"/>
      <c r="V540" s="71"/>
    </row>
    <row r="541" spans="4:22" s="6" customFormat="1" x14ac:dyDescent="0.3">
      <c r="D541" s="18"/>
      <c r="F541" s="18"/>
      <c r="G541" s="50"/>
      <c r="H541" s="55"/>
      <c r="I541" s="8"/>
      <c r="O541" s="45"/>
      <c r="P541" s="69"/>
      <c r="Q541" s="18"/>
      <c r="R541" s="40"/>
      <c r="V541" s="71"/>
    </row>
    <row r="542" spans="4:22" s="6" customFormat="1" x14ac:dyDescent="0.3">
      <c r="D542" s="18"/>
      <c r="F542" s="18"/>
      <c r="G542" s="50"/>
      <c r="H542" s="55"/>
      <c r="I542" s="8"/>
      <c r="O542" s="45"/>
      <c r="P542" s="69"/>
      <c r="Q542" s="18"/>
      <c r="R542" s="40"/>
      <c r="V542" s="71"/>
    </row>
    <row r="543" spans="4:22" s="6" customFormat="1" x14ac:dyDescent="0.3">
      <c r="D543" s="18"/>
      <c r="F543" s="18"/>
      <c r="G543" s="50"/>
      <c r="H543" s="55"/>
      <c r="I543" s="8"/>
      <c r="O543" s="45"/>
      <c r="P543" s="69"/>
      <c r="Q543" s="18"/>
      <c r="R543" s="40"/>
      <c r="V543" s="71"/>
    </row>
    <row r="544" spans="4:22" s="6" customFormat="1" x14ac:dyDescent="0.3">
      <c r="D544" s="18"/>
      <c r="F544" s="18"/>
      <c r="G544" s="50"/>
      <c r="H544" s="55"/>
      <c r="I544" s="8"/>
      <c r="O544" s="45"/>
      <c r="P544" s="69"/>
      <c r="Q544" s="18"/>
      <c r="R544" s="40"/>
      <c r="V544" s="71"/>
    </row>
    <row r="545" spans="4:22" s="6" customFormat="1" x14ac:dyDescent="0.3">
      <c r="D545" s="18"/>
      <c r="F545" s="18"/>
      <c r="G545" s="50"/>
      <c r="H545" s="55"/>
      <c r="I545" s="8"/>
      <c r="O545" s="45"/>
      <c r="P545" s="69"/>
      <c r="Q545" s="18"/>
      <c r="R545" s="40"/>
      <c r="V545" s="71"/>
    </row>
    <row r="546" spans="4:22" s="6" customFormat="1" x14ac:dyDescent="0.3">
      <c r="D546" s="18"/>
      <c r="F546" s="18"/>
      <c r="G546" s="50"/>
      <c r="H546" s="55"/>
      <c r="I546" s="8"/>
      <c r="O546" s="45"/>
      <c r="P546" s="69"/>
      <c r="Q546" s="18"/>
      <c r="R546" s="40"/>
      <c r="V546" s="71"/>
    </row>
    <row r="547" spans="4:22" s="6" customFormat="1" x14ac:dyDescent="0.3">
      <c r="D547" s="18"/>
      <c r="F547" s="18"/>
      <c r="G547" s="50"/>
      <c r="H547" s="55"/>
      <c r="I547" s="8"/>
      <c r="O547" s="45"/>
      <c r="P547" s="69"/>
      <c r="Q547" s="18"/>
      <c r="R547" s="40"/>
      <c r="V547" s="71"/>
    </row>
    <row r="548" spans="4:22" s="6" customFormat="1" x14ac:dyDescent="0.3">
      <c r="D548" s="18"/>
      <c r="F548" s="18"/>
      <c r="G548" s="50"/>
      <c r="H548" s="55"/>
      <c r="I548" s="8"/>
      <c r="O548" s="45"/>
      <c r="P548" s="69"/>
      <c r="Q548" s="18"/>
      <c r="R548" s="40"/>
      <c r="V548" s="71"/>
    </row>
    <row r="549" spans="4:22" s="6" customFormat="1" x14ac:dyDescent="0.3">
      <c r="D549" s="18"/>
      <c r="F549" s="18"/>
      <c r="G549" s="50"/>
      <c r="H549" s="55"/>
      <c r="I549" s="8"/>
      <c r="O549" s="45"/>
      <c r="P549" s="69"/>
      <c r="Q549" s="18"/>
      <c r="R549" s="40"/>
      <c r="V549" s="71"/>
    </row>
    <row r="550" spans="4:22" s="6" customFormat="1" x14ac:dyDescent="0.3">
      <c r="D550" s="18"/>
      <c r="F550" s="18"/>
      <c r="G550" s="50"/>
      <c r="H550" s="55"/>
      <c r="I550" s="8"/>
      <c r="O550" s="45"/>
      <c r="P550" s="69"/>
      <c r="Q550" s="18"/>
      <c r="R550" s="40"/>
      <c r="V550" s="71"/>
    </row>
    <row r="551" spans="4:22" s="6" customFormat="1" x14ac:dyDescent="0.3">
      <c r="D551" s="18"/>
      <c r="F551" s="18"/>
      <c r="G551" s="50"/>
      <c r="H551" s="55"/>
      <c r="I551" s="8"/>
      <c r="O551" s="45"/>
      <c r="P551" s="69"/>
      <c r="Q551" s="18"/>
      <c r="R551" s="40"/>
      <c r="V551" s="71"/>
    </row>
    <row r="552" spans="4:22" s="6" customFormat="1" x14ac:dyDescent="0.3">
      <c r="D552" s="18"/>
      <c r="F552" s="18"/>
      <c r="G552" s="50"/>
      <c r="H552" s="55"/>
      <c r="I552" s="8"/>
      <c r="O552" s="45"/>
      <c r="P552" s="69"/>
      <c r="Q552" s="18"/>
      <c r="R552" s="40"/>
      <c r="V552" s="71"/>
    </row>
    <row r="553" spans="4:22" s="6" customFormat="1" x14ac:dyDescent="0.3">
      <c r="D553" s="18"/>
      <c r="F553" s="18"/>
      <c r="G553" s="50"/>
      <c r="H553" s="55"/>
      <c r="I553" s="8"/>
      <c r="O553" s="45"/>
      <c r="P553" s="69"/>
      <c r="Q553" s="18"/>
      <c r="R553" s="40"/>
      <c r="V553" s="71"/>
    </row>
    <row r="554" spans="4:22" s="6" customFormat="1" x14ac:dyDescent="0.3">
      <c r="D554" s="18"/>
      <c r="F554" s="18"/>
      <c r="G554" s="50"/>
      <c r="H554" s="55"/>
      <c r="I554" s="8"/>
      <c r="O554" s="45"/>
      <c r="P554" s="69"/>
      <c r="Q554" s="18"/>
      <c r="R554" s="40"/>
      <c r="V554" s="71"/>
    </row>
    <row r="555" spans="4:22" s="6" customFormat="1" x14ac:dyDescent="0.3">
      <c r="D555" s="18"/>
      <c r="F555" s="18"/>
      <c r="G555" s="50"/>
      <c r="H555" s="55"/>
      <c r="I555" s="8"/>
      <c r="O555" s="45"/>
      <c r="P555" s="69"/>
      <c r="Q555" s="18"/>
      <c r="R555" s="40"/>
      <c r="V555" s="71"/>
    </row>
    <row r="556" spans="4:22" s="6" customFormat="1" x14ac:dyDescent="0.3">
      <c r="D556" s="18"/>
      <c r="F556" s="18"/>
      <c r="G556" s="50"/>
      <c r="H556" s="55"/>
      <c r="I556" s="8"/>
      <c r="O556" s="45"/>
      <c r="P556" s="69"/>
      <c r="Q556" s="18"/>
      <c r="R556" s="40"/>
      <c r="V556" s="71"/>
    </row>
    <row r="557" spans="4:22" s="6" customFormat="1" x14ac:dyDescent="0.3">
      <c r="D557" s="18"/>
      <c r="F557" s="18"/>
      <c r="G557" s="50"/>
      <c r="H557" s="55"/>
      <c r="I557" s="8"/>
      <c r="O557" s="45"/>
      <c r="P557" s="69"/>
      <c r="Q557" s="18"/>
      <c r="R557" s="40"/>
      <c r="V557" s="71"/>
    </row>
    <row r="558" spans="4:22" s="6" customFormat="1" x14ac:dyDescent="0.3">
      <c r="D558" s="18"/>
      <c r="F558" s="18"/>
      <c r="G558" s="50"/>
      <c r="H558" s="55"/>
      <c r="I558" s="8"/>
      <c r="O558" s="45"/>
      <c r="P558" s="69"/>
      <c r="Q558" s="18"/>
      <c r="R558" s="40"/>
      <c r="V558" s="71"/>
    </row>
    <row r="559" spans="4:22" s="6" customFormat="1" x14ac:dyDescent="0.3">
      <c r="D559" s="18"/>
      <c r="F559" s="18"/>
      <c r="G559" s="50"/>
      <c r="H559" s="55"/>
      <c r="I559" s="8"/>
      <c r="O559" s="45"/>
      <c r="P559" s="69"/>
      <c r="Q559" s="18"/>
      <c r="R559" s="40"/>
      <c r="V559" s="71"/>
    </row>
    <row r="560" spans="4:22" s="6" customFormat="1" x14ac:dyDescent="0.3">
      <c r="D560" s="18"/>
      <c r="F560" s="18"/>
      <c r="G560" s="50"/>
      <c r="H560" s="55"/>
      <c r="I560" s="8"/>
      <c r="O560" s="45"/>
      <c r="P560" s="69"/>
      <c r="Q560" s="18"/>
      <c r="R560" s="40"/>
      <c r="V560" s="71"/>
    </row>
    <row r="561" spans="4:22" s="6" customFormat="1" x14ac:dyDescent="0.3">
      <c r="D561" s="18"/>
      <c r="F561" s="18"/>
      <c r="G561" s="50"/>
      <c r="H561" s="55"/>
      <c r="I561" s="8"/>
      <c r="O561" s="45"/>
      <c r="P561" s="69"/>
      <c r="Q561" s="18"/>
      <c r="R561" s="40"/>
      <c r="V561" s="71"/>
    </row>
    <row r="562" spans="4:22" s="6" customFormat="1" x14ac:dyDescent="0.3">
      <c r="D562" s="18"/>
      <c r="F562" s="18"/>
      <c r="G562" s="50"/>
      <c r="H562" s="55"/>
      <c r="I562" s="8"/>
      <c r="O562" s="45"/>
      <c r="P562" s="69"/>
      <c r="Q562" s="18"/>
      <c r="R562" s="40"/>
      <c r="V562" s="71"/>
    </row>
    <row r="563" spans="4:22" s="6" customFormat="1" x14ac:dyDescent="0.3">
      <c r="D563" s="18"/>
      <c r="F563" s="18"/>
      <c r="G563" s="50"/>
      <c r="H563" s="55"/>
      <c r="I563" s="8"/>
      <c r="O563" s="45"/>
      <c r="P563" s="69"/>
      <c r="Q563" s="18"/>
      <c r="R563" s="40"/>
      <c r="V563" s="71"/>
    </row>
    <row r="564" spans="4:22" s="6" customFormat="1" x14ac:dyDescent="0.3">
      <c r="D564" s="18"/>
      <c r="F564" s="18"/>
      <c r="G564" s="50"/>
      <c r="H564" s="55"/>
      <c r="I564" s="8"/>
      <c r="O564" s="45"/>
      <c r="P564" s="69"/>
      <c r="Q564" s="18"/>
      <c r="R564" s="40"/>
      <c r="V564" s="71"/>
    </row>
    <row r="565" spans="4:22" s="6" customFormat="1" x14ac:dyDescent="0.3">
      <c r="D565" s="18"/>
      <c r="F565" s="18"/>
      <c r="G565" s="50"/>
      <c r="H565" s="55"/>
      <c r="I565" s="8"/>
      <c r="O565" s="45"/>
      <c r="P565" s="69"/>
      <c r="Q565" s="18"/>
      <c r="R565" s="40"/>
      <c r="V565" s="71"/>
    </row>
    <row r="566" spans="4:22" s="6" customFormat="1" x14ac:dyDescent="0.3">
      <c r="D566" s="18"/>
      <c r="F566" s="18"/>
      <c r="G566" s="50"/>
      <c r="H566" s="55"/>
      <c r="I566" s="8"/>
      <c r="O566" s="45"/>
      <c r="P566" s="69"/>
      <c r="Q566" s="18"/>
      <c r="R566" s="40"/>
      <c r="V566" s="71"/>
    </row>
    <row r="567" spans="4:22" s="6" customFormat="1" x14ac:dyDescent="0.3">
      <c r="D567" s="18"/>
      <c r="F567" s="18"/>
      <c r="G567" s="50"/>
      <c r="H567" s="55"/>
      <c r="I567" s="8"/>
      <c r="O567" s="45"/>
      <c r="P567" s="69"/>
      <c r="Q567" s="18"/>
      <c r="R567" s="40"/>
      <c r="V567" s="71"/>
    </row>
    <row r="568" spans="4:22" s="6" customFormat="1" x14ac:dyDescent="0.3">
      <c r="D568" s="18"/>
      <c r="F568" s="18"/>
      <c r="G568" s="50"/>
      <c r="H568" s="55"/>
      <c r="I568" s="8"/>
      <c r="O568" s="45"/>
      <c r="P568" s="69"/>
      <c r="Q568" s="18"/>
      <c r="R568" s="40"/>
      <c r="V568" s="71"/>
    </row>
    <row r="569" spans="4:22" s="6" customFormat="1" x14ac:dyDescent="0.3">
      <c r="D569" s="18"/>
      <c r="F569" s="18"/>
      <c r="G569" s="50"/>
      <c r="H569" s="55"/>
      <c r="I569" s="8"/>
      <c r="O569" s="45"/>
      <c r="P569" s="69"/>
      <c r="Q569" s="18"/>
      <c r="R569" s="40"/>
      <c r="V569" s="71"/>
    </row>
    <row r="570" spans="4:22" s="6" customFormat="1" x14ac:dyDescent="0.3">
      <c r="D570" s="18"/>
      <c r="F570" s="18"/>
      <c r="G570" s="50"/>
      <c r="H570" s="55"/>
      <c r="I570" s="8"/>
      <c r="O570" s="45"/>
      <c r="P570" s="69"/>
      <c r="Q570" s="18"/>
      <c r="R570" s="40"/>
      <c r="V570" s="71"/>
    </row>
    <row r="571" spans="4:22" s="6" customFormat="1" x14ac:dyDescent="0.3">
      <c r="D571" s="18"/>
      <c r="F571" s="18"/>
      <c r="G571" s="50"/>
      <c r="H571" s="55"/>
      <c r="I571" s="8"/>
      <c r="O571" s="45"/>
      <c r="P571" s="69"/>
      <c r="Q571" s="18"/>
      <c r="R571" s="40"/>
      <c r="V571" s="71"/>
    </row>
    <row r="572" spans="4:22" s="6" customFormat="1" x14ac:dyDescent="0.3">
      <c r="D572" s="18"/>
      <c r="F572" s="18"/>
      <c r="G572" s="50"/>
      <c r="H572" s="55"/>
      <c r="I572" s="8"/>
      <c r="O572" s="45"/>
      <c r="P572" s="69"/>
      <c r="Q572" s="18"/>
      <c r="R572" s="40"/>
      <c r="V572" s="71"/>
    </row>
    <row r="573" spans="4:22" s="6" customFormat="1" x14ac:dyDescent="0.3">
      <c r="D573" s="18"/>
      <c r="F573" s="18"/>
      <c r="G573" s="50"/>
      <c r="H573" s="55"/>
      <c r="I573" s="8"/>
      <c r="O573" s="45"/>
      <c r="P573" s="69"/>
      <c r="Q573" s="18"/>
      <c r="R573" s="40"/>
      <c r="V573" s="71"/>
    </row>
    <row r="574" spans="4:22" s="6" customFormat="1" x14ac:dyDescent="0.3">
      <c r="D574" s="18"/>
      <c r="F574" s="18"/>
      <c r="G574" s="50"/>
      <c r="H574" s="55"/>
      <c r="I574" s="8"/>
      <c r="O574" s="45"/>
      <c r="P574" s="69"/>
      <c r="Q574" s="18"/>
      <c r="R574" s="40"/>
      <c r="V574" s="71"/>
    </row>
    <row r="575" spans="4:22" s="6" customFormat="1" x14ac:dyDescent="0.3">
      <c r="D575" s="18"/>
      <c r="F575" s="18"/>
      <c r="G575" s="50"/>
      <c r="H575" s="55"/>
      <c r="I575" s="8"/>
      <c r="O575" s="45"/>
      <c r="P575" s="69"/>
      <c r="Q575" s="18"/>
      <c r="R575" s="40"/>
      <c r="V575" s="71"/>
    </row>
    <row r="576" spans="4:22" s="6" customFormat="1" x14ac:dyDescent="0.3">
      <c r="D576" s="18"/>
      <c r="F576" s="18"/>
      <c r="G576" s="50"/>
      <c r="H576" s="55"/>
      <c r="I576" s="8"/>
      <c r="O576" s="45"/>
      <c r="P576" s="69"/>
      <c r="Q576" s="18"/>
      <c r="R576" s="40"/>
      <c r="V576" s="71"/>
    </row>
    <row r="577" spans="4:22" s="6" customFormat="1" x14ac:dyDescent="0.3">
      <c r="D577" s="18"/>
      <c r="F577" s="18"/>
      <c r="G577" s="50"/>
      <c r="H577" s="55"/>
      <c r="I577" s="8"/>
      <c r="O577" s="45"/>
      <c r="P577" s="69"/>
      <c r="Q577" s="18"/>
      <c r="R577" s="40"/>
      <c r="V577" s="71"/>
    </row>
    <row r="578" spans="4:22" s="6" customFormat="1" x14ac:dyDescent="0.3">
      <c r="D578" s="18"/>
      <c r="F578" s="18"/>
      <c r="G578" s="50"/>
      <c r="H578" s="55"/>
      <c r="I578" s="8"/>
      <c r="O578" s="45"/>
      <c r="P578" s="69"/>
      <c r="Q578" s="18"/>
      <c r="R578" s="40"/>
      <c r="V578" s="71"/>
    </row>
    <row r="579" spans="4:22" s="6" customFormat="1" x14ac:dyDescent="0.3">
      <c r="D579" s="18"/>
      <c r="F579" s="18"/>
      <c r="G579" s="50"/>
      <c r="H579" s="55"/>
      <c r="I579" s="8"/>
      <c r="O579" s="45"/>
      <c r="P579" s="69"/>
      <c r="Q579" s="18"/>
      <c r="R579" s="40"/>
      <c r="V579" s="71"/>
    </row>
    <row r="580" spans="4:22" s="6" customFormat="1" x14ac:dyDescent="0.3">
      <c r="D580" s="18"/>
      <c r="F580" s="18"/>
      <c r="G580" s="50"/>
      <c r="H580" s="55"/>
      <c r="I580" s="8"/>
      <c r="O580" s="45"/>
      <c r="P580" s="69"/>
      <c r="Q580" s="18"/>
      <c r="R580" s="40"/>
      <c r="V580" s="71"/>
    </row>
    <row r="581" spans="4:22" s="6" customFormat="1" x14ac:dyDescent="0.3">
      <c r="D581" s="18"/>
      <c r="F581" s="18"/>
      <c r="G581" s="50"/>
      <c r="H581" s="55"/>
      <c r="I581" s="8"/>
      <c r="O581" s="45"/>
      <c r="P581" s="69"/>
      <c r="Q581" s="18"/>
      <c r="R581" s="40"/>
      <c r="V581" s="71"/>
    </row>
    <row r="582" spans="4:22" s="6" customFormat="1" x14ac:dyDescent="0.3">
      <c r="D582" s="18"/>
      <c r="F582" s="18"/>
      <c r="G582" s="50"/>
      <c r="H582" s="55"/>
      <c r="I582" s="8"/>
      <c r="O582" s="45"/>
      <c r="P582" s="69"/>
      <c r="Q582" s="18"/>
      <c r="R582" s="40"/>
      <c r="V582" s="71"/>
    </row>
    <row r="583" spans="4:22" s="6" customFormat="1" x14ac:dyDescent="0.3">
      <c r="D583" s="18"/>
      <c r="F583" s="18"/>
      <c r="G583" s="50"/>
      <c r="H583" s="55"/>
      <c r="I583" s="8"/>
      <c r="O583" s="45"/>
      <c r="P583" s="69"/>
      <c r="Q583" s="18"/>
      <c r="R583" s="40"/>
      <c r="V583" s="71"/>
    </row>
    <row r="584" spans="4:22" x14ac:dyDescent="0.3">
      <c r="T584" s="6"/>
    </row>
    <row r="585" spans="4:22" x14ac:dyDescent="0.3">
      <c r="T585" s="6"/>
    </row>
    <row r="586" spans="4:22" x14ac:dyDescent="0.3">
      <c r="T586" s="6"/>
    </row>
    <row r="587" spans="4:22" x14ac:dyDescent="0.3">
      <c r="T587" s="6"/>
    </row>
    <row r="588" spans="4:22" x14ac:dyDescent="0.3">
      <c r="T588" s="6"/>
    </row>
    <row r="589" spans="4:22" x14ac:dyDescent="0.3">
      <c r="T589" s="6"/>
    </row>
    <row r="590" spans="4:22" x14ac:dyDescent="0.3">
      <c r="T590" s="6"/>
    </row>
    <row r="591" spans="4:22" x14ac:dyDescent="0.3">
      <c r="T591" s="6"/>
    </row>
    <row r="592" spans="4:22" x14ac:dyDescent="0.3">
      <c r="T592" s="6"/>
    </row>
    <row r="593" spans="20:20" x14ac:dyDescent="0.3">
      <c r="T593" s="6"/>
    </row>
    <row r="594" spans="20:20" x14ac:dyDescent="0.3">
      <c r="T594" s="6"/>
    </row>
  </sheetData>
  <autoFilter ref="D1:D583"/>
  <mergeCells count="72">
    <mergeCell ref="A182:A203"/>
    <mergeCell ref="C191:C192"/>
    <mergeCell ref="B191:B193"/>
    <mergeCell ref="C196:C201"/>
    <mergeCell ref="B195:B201"/>
    <mergeCell ref="C202:C203"/>
    <mergeCell ref="B202:B203"/>
    <mergeCell ref="C182:C183"/>
    <mergeCell ref="B182:B184"/>
    <mergeCell ref="C185:C188"/>
    <mergeCell ref="B185:B188"/>
    <mergeCell ref="A114:A119"/>
    <mergeCell ref="C120:C131"/>
    <mergeCell ref="B120:B131"/>
    <mergeCell ref="A120:A180"/>
    <mergeCell ref="C132:C136"/>
    <mergeCell ref="B132:B136"/>
    <mergeCell ref="C137:C161"/>
    <mergeCell ref="B137:B161"/>
    <mergeCell ref="C162:C166"/>
    <mergeCell ref="B162:B166"/>
    <mergeCell ref="C167:C169"/>
    <mergeCell ref="B167:B169"/>
    <mergeCell ref="C170:C180"/>
    <mergeCell ref="B170:B180"/>
    <mergeCell ref="C114:C119"/>
    <mergeCell ref="B114:B119"/>
    <mergeCell ref="C106:C107"/>
    <mergeCell ref="B106:B107"/>
    <mergeCell ref="C110:C112"/>
    <mergeCell ref="B110:B112"/>
    <mergeCell ref="A82:A113"/>
    <mergeCell ref="C93:C98"/>
    <mergeCell ref="B93:B98"/>
    <mergeCell ref="C99:C101"/>
    <mergeCell ref="B99:B101"/>
    <mergeCell ref="C102:C105"/>
    <mergeCell ref="B102:B105"/>
    <mergeCell ref="C82:C84"/>
    <mergeCell ref="B82:B84"/>
    <mergeCell ref="C86:C87"/>
    <mergeCell ref="B86:B87"/>
    <mergeCell ref="C88:C89"/>
    <mergeCell ref="B88:B89"/>
    <mergeCell ref="C70:C73"/>
    <mergeCell ref="C74:C77"/>
    <mergeCell ref="B70:B77"/>
    <mergeCell ref="A43:A77"/>
    <mergeCell ref="C79:C81"/>
    <mergeCell ref="B78:B81"/>
    <mergeCell ref="A78:A81"/>
    <mergeCell ref="C43:C50"/>
    <mergeCell ref="C58:C68"/>
    <mergeCell ref="B43:B68"/>
    <mergeCell ref="C26:C28"/>
    <mergeCell ref="B26:B28"/>
    <mergeCell ref="A26:A28"/>
    <mergeCell ref="C29:C33"/>
    <mergeCell ref="C35:C38"/>
    <mergeCell ref="B29:B38"/>
    <mergeCell ref="A29:A38"/>
    <mergeCell ref="C14:C17"/>
    <mergeCell ref="B14:B17"/>
    <mergeCell ref="C19:C25"/>
    <mergeCell ref="B19:B25"/>
    <mergeCell ref="A14:A25"/>
    <mergeCell ref="A1:E1"/>
    <mergeCell ref="C3:C5"/>
    <mergeCell ref="B3:B5"/>
    <mergeCell ref="C6:C12"/>
    <mergeCell ref="B6:B12"/>
    <mergeCell ref="A3:A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 Marco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2025-07-22T16:18:12Z</dcterms:created>
  <dcterms:modified xsi:type="dcterms:W3CDTF">2026-03-11T14:45:34Z</dcterms:modified>
</cp:coreProperties>
</file>